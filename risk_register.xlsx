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Risk Register" sheetId="2" state="visible" r:id="rId4"/>
    <sheet name="Heat Map" sheetId="3" state="visible" r:id="rId5"/>
    <sheet name="Summary" sheetId="4" state="visible" r:id="rId6"/>
  </sheets>
  <definedNames>
    <definedName function="false" hidden="true" localSheetId="1" name="_xlnm._FilterDatabase" vbProcedure="false">'Risk Register'!$A$1:$T$31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Worked example row. Every row follows this format.</t>
        </r>
      </text>
    </comment>
  </commentList>
</comments>
</file>

<file path=xl/sharedStrings.xml><?xml version="1.0" encoding="utf-8"?>
<sst xmlns="http://schemas.openxmlformats.org/spreadsheetml/2006/main" count="289" uniqueCount="230">
  <si>
    <t xml:space="preserve">Security Risk Register</t>
  </si>
  <si>
    <t xml:space="preserve">Site ALPHA, a fictional regional distribution centre with a 40-truck fleet yard. All data is synthetic.</t>
  </si>
  <si>
    <t xml:space="preserve">As-of date</t>
  </si>
  <si>
    <t xml:space="preserve">Input. Change this to your review date; overdue actions update automatically.</t>
  </si>
  <si>
    <t xml:space="preserve">How to use</t>
  </si>
  <si>
    <t xml:space="preserve">1. Add one risk per row on the Risk Register tab. Row R01 is a worked example of the expected format.</t>
  </si>
  <si>
    <t xml:space="preserve">2. Fill only the shaded input cells: description, controls, likelihood, impact, mitigation, owner, due date, status.</t>
  </si>
  <si>
    <t xml:space="preserve">3. Score, rating and reduction columns are formulas. Do not type over them.</t>
  </si>
  <si>
    <t xml:space="preserve">4. The Heat Map and Summary tabs update on their own.</t>
  </si>
  <si>
    <t xml:space="preserve">Likelihood scale</t>
  </si>
  <si>
    <t xml:space="preserve">Impact scale</t>
  </si>
  <si>
    <t xml:space="preserve">1  Rare</t>
  </si>
  <si>
    <t xml:space="preserve">Not expected in the next 3 years</t>
  </si>
  <si>
    <t xml:space="preserve">1  Minimal: No injury; loss under AED 5k; no delay</t>
  </si>
  <si>
    <t xml:space="preserve">2  Unlikely</t>
  </si>
  <si>
    <t xml:space="preserve">Could happen once in 3 years</t>
  </si>
  <si>
    <t xml:space="preserve">2  Minor: First aid; loss under AED 50k; delay under 4 h</t>
  </si>
  <si>
    <t xml:space="preserve">3  Possible</t>
  </si>
  <si>
    <t xml:space="preserve">Could happen once a year</t>
  </si>
  <si>
    <t xml:space="preserve">3  Moderate: Lost-time injury; loss under AED 250k; delay under 24 h</t>
  </si>
  <si>
    <t xml:space="preserve">4  Likely</t>
  </si>
  <si>
    <t xml:space="preserve">Expected several times a year</t>
  </si>
  <si>
    <t xml:space="preserve">4  Major: Serious injury; loss under AED 1m; client penalty</t>
  </si>
  <si>
    <t xml:space="preserve">5  Almost certain</t>
  </si>
  <si>
    <t xml:space="preserve">Expected monthly or more</t>
  </si>
  <si>
    <t xml:space="preserve">5  Severe: Fatality; loss over AED 1m; site closure</t>
  </si>
  <si>
    <t xml:space="preserve">Loss thresholds are illustrative for this fictional site.</t>
  </si>
  <si>
    <t xml:space="preserve">Rating bands (score = likelihood x impact)</t>
  </si>
  <si>
    <t xml:space="preserve">Low</t>
  </si>
  <si>
    <t xml:space="preserve">1 to 4</t>
  </si>
  <si>
    <t xml:space="preserve">Accept and monitor</t>
  </si>
  <si>
    <t xml:space="preserve">Medium</t>
  </si>
  <si>
    <t xml:space="preserve">5 to 9</t>
  </si>
  <si>
    <t xml:space="preserve">Mitigate within normal planning</t>
  </si>
  <si>
    <t xml:space="preserve">High</t>
  </si>
  <si>
    <t xml:space="preserve">10 to 14</t>
  </si>
  <si>
    <t xml:space="preserve">Mitigation plan with an owner and due date</t>
  </si>
  <si>
    <t xml:space="preserve">Critical</t>
  </si>
  <si>
    <t xml:space="preserve">15 to 25</t>
  </si>
  <si>
    <t xml:space="preserve">Escalate to management; act immediately</t>
  </si>
  <si>
    <t xml:space="preserve">ID</t>
  </si>
  <si>
    <t xml:space="preserve">Category</t>
  </si>
  <si>
    <t xml:space="preserve">Risk</t>
  </si>
  <si>
    <t xml:space="preserve">Cause</t>
  </si>
  <si>
    <t xml:space="preserve">Consequence</t>
  </si>
  <si>
    <t xml:space="preserve">Existing controls</t>
  </si>
  <si>
    <t xml:space="preserve">Inherent L</t>
  </si>
  <si>
    <t xml:space="preserve">Inherent I</t>
  </si>
  <si>
    <t xml:space="preserve">Inherent score</t>
  </si>
  <si>
    <t xml:space="preserve">Inherent rating</t>
  </si>
  <si>
    <t xml:space="preserve">Mitigation action</t>
  </si>
  <si>
    <t xml:space="preserve">Owner</t>
  </si>
  <si>
    <t xml:space="preserve">Due date</t>
  </si>
  <si>
    <t xml:space="preserve">Status</t>
  </si>
  <si>
    <t xml:space="preserve">Residual L</t>
  </si>
  <si>
    <t xml:space="preserve">Residual I</t>
  </si>
  <si>
    <t xml:space="preserve">Residual score</t>
  </si>
  <si>
    <t xml:space="preserve">Residual rating</t>
  </si>
  <si>
    <t xml:space="preserve">Reduction</t>
  </si>
  <si>
    <t xml:space="preserve">Overdue</t>
  </si>
  <si>
    <t xml:space="preserve">R01</t>
  </si>
  <si>
    <t xml:space="preserve">Physical Security</t>
  </si>
  <si>
    <t xml:space="preserve">Unauthorized vehicle entry at main gate</t>
  </si>
  <si>
    <t xml:space="preserve">Manual paper gate log; no plate recognition</t>
  </si>
  <si>
    <t xml:space="preserve">Theft or sabotage inside the yard</t>
  </si>
  <si>
    <t xml:space="preserve">Guard at gate; paper visitor log</t>
  </si>
  <si>
    <t xml:space="preserve">Install ANPR camera with pre-registered vehicle list and barrier interlock</t>
  </si>
  <si>
    <t xml:space="preserve">Security Manager</t>
  </si>
  <si>
    <t xml:space="preserve">In progress</t>
  </si>
  <si>
    <t xml:space="preserve">R02</t>
  </si>
  <si>
    <t xml:space="preserve">Perimeter fence breach on north side</t>
  </si>
  <si>
    <t xml:space="preserve">Poor lighting and no camera coverage on north fence</t>
  </si>
  <si>
    <t xml:space="preserve">Undetected intrusion and stock theft</t>
  </si>
  <si>
    <t xml:space="preserve">Night patrol every 4 hours</t>
  </si>
  <si>
    <t xml:space="preserve">Add LED flood lighting and 2 CCTV cameras; patrol every 2 hours</t>
  </si>
  <si>
    <t xml:space="preserve">Security Supervisor</t>
  </si>
  <si>
    <t xml:space="preserve">Open</t>
  </si>
  <si>
    <t xml:space="preserve">R03</t>
  </si>
  <si>
    <t xml:space="preserve">CCTV blind spots at loading docks 4-6</t>
  </si>
  <si>
    <t xml:space="preserve">Camera layout not updated after dock extension</t>
  </si>
  <si>
    <t xml:space="preserve">Loading incidents and theft cannot be investigated</t>
  </si>
  <si>
    <t xml:space="preserve">Fixed cameras at docks 1-3 only</t>
  </si>
  <si>
    <t xml:space="preserve">Install 3 cameras on docks 4-6 with 30-day retention</t>
  </si>
  <si>
    <t xml:space="preserve">R04</t>
  </si>
  <si>
    <t xml:space="preserve">Access card sharing and tailgating at staff entrance</t>
  </si>
  <si>
    <t xml:space="preserve">Single swing door with no turnstile</t>
  </si>
  <si>
    <t xml:space="preserve">Unauthorized persons inside operational areas</t>
  </si>
  <si>
    <t xml:space="preserve">Access cards issued to all staff</t>
  </si>
  <si>
    <t xml:space="preserve">Install turnstiles and run a monthly access card audit</t>
  </si>
  <si>
    <t xml:space="preserve">R05</t>
  </si>
  <si>
    <t xml:space="preserve">Fleet &amp; Transport</t>
  </si>
  <si>
    <t xml:space="preserve">Cargo theft or hijack during night transit</t>
  </si>
  <si>
    <t xml:space="preserve">Night runs on remote routes with long stops</t>
  </si>
  <si>
    <t xml:space="preserve">Loss of cargo and risk to driver safety</t>
  </si>
  <si>
    <t xml:space="preserve">GPS tracking on all trucks</t>
  </si>
  <si>
    <t xml:space="preserve">Journey management plan with no-stop zones; 60-minute check-in calls; panic button</t>
  </si>
  <si>
    <t xml:space="preserve">Fleet Manager</t>
  </si>
  <si>
    <t xml:space="preserve">R06</t>
  </si>
  <si>
    <t xml:space="preserve">Driver fatigue on long-haul routes</t>
  </si>
  <si>
    <t xml:space="preserve">Back-to-back shifts and no rest rules</t>
  </si>
  <si>
    <t xml:space="preserve">Road traffic accident</t>
  </si>
  <si>
    <t xml:space="preserve">Verbal briefing before trips</t>
  </si>
  <si>
    <t xml:space="preserve">Set maximum driving hours and mandatory rest stops; fatigue checks at dispatch</t>
  </si>
  <si>
    <t xml:space="preserve">Done</t>
  </si>
  <si>
    <t xml:space="preserve">R07</t>
  </si>
  <si>
    <t xml:space="preserve">Vehicle breakdown from missed preventive maintenance</t>
  </si>
  <si>
    <t xml:space="preserve">Service planned by date only and repeat faults not tracked</t>
  </si>
  <si>
    <t xml:space="preserve">Missed deliveries and higher repair cost</t>
  </si>
  <si>
    <t xml:space="preserve">Annual service contract</t>
  </si>
  <si>
    <t xml:space="preserve">PM schedule by kilometres and engine hours; repeat-fault tracking log</t>
  </si>
  <si>
    <t xml:space="preserve">Fleet Maintenance Lead</t>
  </si>
  <si>
    <t xml:space="preserve">R08</t>
  </si>
  <si>
    <t xml:space="preserve">Fuel misuse or fraud</t>
  </si>
  <si>
    <t xml:space="preserve">Shared fuel cards and no per-vehicle consumption review</t>
  </si>
  <si>
    <t xml:space="preserve">Higher fuel cost and budget overrun</t>
  </si>
  <si>
    <t xml:space="preserve">Monthly fuel invoice check</t>
  </si>
  <si>
    <t xml:space="preserve">Individual fuel cards and a monthly per-vehicle variance report</t>
  </si>
  <si>
    <t xml:space="preserve">R09</t>
  </si>
  <si>
    <t xml:space="preserve">Warehouse &amp; Inventory</t>
  </si>
  <si>
    <t xml:space="preserve">Insider theft of high-value stock</t>
  </si>
  <si>
    <t xml:space="preserve">High-value items stored in open racking</t>
  </si>
  <si>
    <t xml:space="preserve">Financial loss and client claims</t>
  </si>
  <si>
    <t xml:space="preserve">CCTV at dock doors</t>
  </si>
  <si>
    <t xml:space="preserve">High-value cage with two-person rule; weekly cycle counts</t>
  </si>
  <si>
    <t xml:space="preserve">Warehouse Manager</t>
  </si>
  <si>
    <t xml:space="preserve">R10</t>
  </si>
  <si>
    <t xml:space="preserve">Expired stock issued to clients</t>
  </si>
  <si>
    <t xml:space="preserve">FEFO rule not enforced at picking</t>
  </si>
  <si>
    <t xml:space="preserve">Client rejection and penalties</t>
  </si>
  <si>
    <t xml:space="preserve">Quarterly expiry check</t>
  </si>
  <si>
    <t xml:space="preserve">FEFO picking rule in the WMS with 60-day expiry alerts</t>
  </si>
  <si>
    <t xml:space="preserve">Inventory Controller</t>
  </si>
  <si>
    <t xml:space="preserve">R11</t>
  </si>
  <si>
    <t xml:space="preserve">Forklift and pedestrian collision</t>
  </si>
  <si>
    <t xml:space="preserve">Shared aisles and no speed limits</t>
  </si>
  <si>
    <t xml:space="preserve">Serious injury and operations stoppage</t>
  </si>
  <si>
    <t xml:space="preserve">Forklift licence required</t>
  </si>
  <si>
    <t xml:space="preserve">Segregated walkways; 8 km/h limit; blue warning lights; refresher training</t>
  </si>
  <si>
    <t xml:space="preserve">HSE Officer</t>
  </si>
  <si>
    <t xml:space="preserve">R12</t>
  </si>
  <si>
    <t xml:space="preserve">Fire &amp; Life Safety</t>
  </si>
  <si>
    <t xml:space="preserve">Fire in battery charging area</t>
  </si>
  <si>
    <t xml:space="preserve">Chargers close to stored packaging</t>
  </si>
  <si>
    <t xml:space="preserve">Fire spread and site closure</t>
  </si>
  <si>
    <t xml:space="preserve">Portable extinguishers</t>
  </si>
  <si>
    <t xml:space="preserve">Thermal detection; 2 m separation zone; monthly charger inspection</t>
  </si>
  <si>
    <t xml:space="preserve">R13</t>
  </si>
  <si>
    <t xml:space="preserve">Emergency exits blocked by stored pallets</t>
  </si>
  <si>
    <t xml:space="preserve">No floor marking and peak-season overflow</t>
  </si>
  <si>
    <t xml:space="preserve">Delayed evacuation</t>
  </si>
  <si>
    <t xml:space="preserve">Exit signs installed</t>
  </si>
  <si>
    <t xml:space="preserve">Floor marking at exits and a daily walk-round checklist</t>
  </si>
  <si>
    <t xml:space="preserve">R14</t>
  </si>
  <si>
    <t xml:space="preserve">Staff unfamiliar with evacuation procedure</t>
  </si>
  <si>
    <t xml:space="preserve">No evacuation drill in the last 12 months</t>
  </si>
  <si>
    <t xml:space="preserve">Confusion and injury during an emergency</t>
  </si>
  <si>
    <t xml:space="preserve">Evacuation plan posted on walls</t>
  </si>
  <si>
    <t xml:space="preserve">Quarterly drills with trained floor wardens and assembly point checks</t>
  </si>
  <si>
    <t xml:space="preserve">R15</t>
  </si>
  <si>
    <t xml:space="preserve">People &amp; Contractors</t>
  </si>
  <si>
    <t xml:space="preserve">Contract guards deployed without vetting</t>
  </si>
  <si>
    <t xml:space="preserve">Contractor supplies staff at short notice</t>
  </si>
  <si>
    <t xml:space="preserve">Insider threat inside the security team</t>
  </si>
  <si>
    <t xml:space="preserve">Contractor ID cards</t>
  </si>
  <si>
    <t xml:space="preserve">Background checks before deployment written into the contractor SLA</t>
  </si>
  <si>
    <t xml:space="preserve">R16</t>
  </si>
  <si>
    <t xml:space="preserve">Disputes with drivers escalating at the gate</t>
  </si>
  <si>
    <t xml:space="preserve">Long queues and unclear gate rules</t>
  </si>
  <si>
    <t xml:space="preserve">Assault or blocked gate</t>
  </si>
  <si>
    <t xml:space="preserve">Guard supervisor on call</t>
  </si>
  <si>
    <t xml:space="preserve">De-escalation training and a written gate procedure</t>
  </si>
  <si>
    <t xml:space="preserve">R17</t>
  </si>
  <si>
    <t xml:space="preserve">Security contractor fails to deliver service</t>
  </si>
  <si>
    <t xml:space="preserve">Single supplier with no exit clause</t>
  </si>
  <si>
    <t xml:space="preserve">Gaps in guard coverage</t>
  </si>
  <si>
    <t xml:space="preserve">Monthly service review</t>
  </si>
  <si>
    <t xml:space="preserve">Approve a second vendor and add a 30-day exit clause</t>
  </si>
  <si>
    <t xml:space="preserve">Procurement Lead</t>
  </si>
  <si>
    <t xml:space="preserve">R18</t>
  </si>
  <si>
    <t xml:space="preserve">Information Security</t>
  </si>
  <si>
    <t xml:space="preserve">Shipment schedules shared on personal messaging apps</t>
  </si>
  <si>
    <t xml:space="preserve">No approved channel for operational updates</t>
  </si>
  <si>
    <t xml:space="preserve">Route and cargo details leak to criminals</t>
  </si>
  <si>
    <t xml:space="preserve">Verbal instruction to keep schedules private</t>
  </si>
  <si>
    <t xml:space="preserve">Approved messaging channel with need-to-know distribution lists</t>
  </si>
  <si>
    <t xml:space="preserve">Operations Manager</t>
  </si>
  <si>
    <t xml:space="preserve">R19</t>
  </si>
  <si>
    <t xml:space="preserve">Business Continuity</t>
  </si>
  <si>
    <t xml:space="preserve">Power outage stops the WMS and CCTV</t>
  </si>
  <si>
    <t xml:space="preserve">No UPS on servers and cameras</t>
  </si>
  <si>
    <t xml:space="preserve">Loss of visibility and stock control</t>
  </si>
  <si>
    <t xml:space="preserve">Diesel generator on site</t>
  </si>
  <si>
    <t xml:space="preserve">UPS on CCTV and servers; monthly generator load test</t>
  </si>
  <si>
    <t xml:space="preserve">Facilities Manager</t>
  </si>
  <si>
    <t xml:space="preserve">R20</t>
  </si>
  <si>
    <t xml:space="preserve">Road closures disrupt deliveries</t>
  </si>
  <si>
    <t xml:space="preserve">Single route to main clients</t>
  </si>
  <si>
    <t xml:space="preserve">Late deliveries and penalties</t>
  </si>
  <si>
    <t xml:space="preserve">Ad-hoc rerouting by drivers</t>
  </si>
  <si>
    <t xml:space="preserve">Pre-approved alternate routes and a client notification protocol</t>
  </si>
  <si>
    <t xml:space="preserve">Risk heat map</t>
  </si>
  <si>
    <t xml:space="preserve">Number of risks in each likelihood x impact cell. Updates from the Risk Register tab.</t>
  </si>
  <si>
    <t xml:space="preserve">Inherent (before controls)</t>
  </si>
  <si>
    <t xml:space="preserve">Residual (after mitigation)</t>
  </si>
  <si>
    <t xml:space="preserve">Likelihood</t>
  </si>
  <si>
    <t xml:space="preserve">Impact</t>
  </si>
  <si>
    <t xml:space="preserve">Low 1 to 4</t>
  </si>
  <si>
    <t xml:space="preserve">Medium 5 to 9</t>
  </si>
  <si>
    <t xml:space="preserve">High 10 to 14</t>
  </si>
  <si>
    <t xml:space="preserve">Critical 15 to 25</t>
  </si>
  <si>
    <t xml:space="preserve">Risk summary</t>
  </si>
  <si>
    <t xml:space="preserve">Headline</t>
  </si>
  <si>
    <t xml:space="preserve">Measure</t>
  </si>
  <si>
    <t xml:space="preserve">Value</t>
  </si>
  <si>
    <t xml:space="preserve">Risks assessed</t>
  </si>
  <si>
    <t xml:space="preserve">Average inherent score</t>
  </si>
  <si>
    <t xml:space="preserve">Average residual score</t>
  </si>
  <si>
    <t xml:space="preserve">Overall risk reduction</t>
  </si>
  <si>
    <t xml:space="preserve">Overdue actions</t>
  </si>
  <si>
    <t xml:space="preserve">Risks by rating</t>
  </si>
  <si>
    <t xml:space="preserve">Rating</t>
  </si>
  <si>
    <t xml:space="preserve">Inherent</t>
  </si>
  <si>
    <t xml:space="preserve">Residual</t>
  </si>
  <si>
    <t xml:space="preserve">Total</t>
  </si>
  <si>
    <t xml:space="preserve">By category</t>
  </si>
  <si>
    <t xml:space="preserve">Risks</t>
  </si>
  <si>
    <t xml:space="preserve">Avg inherent</t>
  </si>
  <si>
    <t xml:space="preserve">Avg residual</t>
  </si>
  <si>
    <t xml:space="preserve">Mitigation status</t>
  </si>
  <si>
    <t xml:space="preserve">Count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</si>
</sst>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 mmm\ yyyy"/>
    <numFmt numFmtId="166" formatCode="General"/>
    <numFmt numFmtId="167" formatCode="0%;\-0%;\-"/>
    <numFmt numFmtId="168" formatCode="0.0"/>
    <numFmt numFmtId="169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5202A"/>
      <name val="Arial"/>
      <family val="0"/>
      <charset val="1"/>
    </font>
    <font>
      <i val="true"/>
      <sz val="10"/>
      <color rgb="FF55636F"/>
      <name val="Arial"/>
      <family val="0"/>
      <charset val="1"/>
    </font>
    <font>
      <b val="true"/>
      <sz val="10"/>
      <color rgb="FF15202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5636F"/>
      <name val="Arial"/>
      <family val="0"/>
      <charset val="1"/>
    </font>
    <font>
      <b val="true"/>
      <sz val="12"/>
      <color rgb="FF15202A"/>
      <name val="Arial"/>
      <family val="0"/>
      <charset val="1"/>
    </font>
    <font>
      <sz val="10"/>
      <color rgb="FF15202A"/>
      <name val="Arial"/>
      <family val="0"/>
      <charset val="1"/>
    </font>
    <font>
      <i val="true"/>
      <sz val="9"/>
      <color rgb="FF55636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rgb="FF15202A"/>
      <name val="Arial"/>
      <family val="0"/>
      <charset val="1"/>
    </font>
    <font>
      <sz val="9"/>
      <color rgb="FF55636F"/>
      <name val="Arial"/>
      <family val="0"/>
      <charset val="1"/>
    </font>
    <font>
      <b val="true"/>
      <sz val="10"/>
      <color rgb="FF55636F"/>
      <name val="Arial"/>
      <family val="0"/>
      <charset val="1"/>
    </font>
    <font>
      <b val="true"/>
      <sz val="14"/>
      <color rgb="FF15202A"/>
      <name val="Arial"/>
      <family val="0"/>
      <charset val="1"/>
    </font>
    <font>
      <sz val="9"/>
      <color rgb="FF15202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CFE8D5"/>
        <bgColor rgb="FFC9D1D7"/>
      </patternFill>
    </fill>
    <fill>
      <patternFill patternType="solid">
        <fgColor rgb="FFF6E3A1"/>
        <bgColor rgb="FFFFFF99"/>
      </patternFill>
    </fill>
    <fill>
      <patternFill patternType="solid">
        <fgColor rgb="FFF2B27A"/>
        <bgColor rgb="FFE58C7E"/>
      </patternFill>
    </fill>
    <fill>
      <patternFill patternType="solid">
        <fgColor rgb="FFE58C7E"/>
        <bgColor rgb="FFF2B27A"/>
      </patternFill>
    </fill>
    <fill>
      <patternFill patternType="solid">
        <fgColor rgb="FF1F3A4D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1D7"/>
      </left>
      <right style="thin">
        <color rgb="FFC9D1D7"/>
      </right>
      <top style="thin">
        <color rgb="FFC9D1D7"/>
      </top>
      <bottom style="thin">
        <color rgb="FFC9D1D7"/>
      </bottom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A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5202A"/>
          <bgColor rgb="FF000000"/>
        </patternFill>
      </fill>
    </dxf>
    <dxf>
      <fill>
        <patternFill patternType="solid">
          <fgColor rgb="FFE58C7E"/>
          <bgColor rgb="FF000000"/>
        </patternFill>
      </fill>
    </dxf>
    <dxf>
      <fill>
        <patternFill patternType="solid">
          <fgColor rgb="FFF2B27A"/>
          <bgColor rgb="FF000000"/>
        </patternFill>
      </fill>
    </dxf>
    <dxf>
      <fill>
        <patternFill patternType="solid">
          <fgColor rgb="FFF6E3A1"/>
          <bgColor rgb="FF000000"/>
        </patternFill>
      </fill>
    </dxf>
    <dxf>
      <fill>
        <patternFill patternType="solid">
          <fgColor rgb="FFCFE8D5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>
          <bgColor rgb="FFCFE8D5"/>
        </patternFill>
      </fill>
    </dxf>
    <dxf>
      <fill>
        <patternFill>
          <bgColor rgb="FFF6E3A1"/>
        </patternFill>
      </fill>
    </dxf>
    <dxf>
      <fill>
        <patternFill>
          <bgColor rgb="FFF2B27A"/>
        </patternFill>
      </fill>
    </dxf>
    <dxf>
      <fill>
        <patternFill>
          <bgColor rgb="FFE58C7E"/>
        </patternFill>
      </fill>
    </dxf>
    <dxf>
      <font>
        <name val="Arial"/>
        <charset val="1"/>
        <family val="0"/>
        <b val="1"/>
        <color rgb="FFB4231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E58C7E"/>
      <rgbColor rgb="FF0066CC"/>
      <rgbColor rgb="FFC9D1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8D5"/>
      <rgbColor rgb="FFFFFF99"/>
      <rgbColor rgb="FF99CCFF"/>
      <rgbColor rgb="FFF2B27A"/>
      <rgbColor rgb="FFCC99FF"/>
      <rgbColor rgb="FFF6E3A1"/>
      <rgbColor rgb="FF3366FF"/>
      <rgbColor rgb="FF33CCCC"/>
      <rgbColor rgb="FF99CC00"/>
      <rgbColor rgb="FFFFCC00"/>
      <rgbColor rgb="FFFF9900"/>
      <rgbColor rgb="FFFF6600"/>
      <rgbColor rgb="FF55636F"/>
      <rgbColor rgb="FF969696"/>
      <rgbColor rgb="FF003366"/>
      <rgbColor rgb="FF339966"/>
      <rgbColor rgb="FF15202A"/>
      <rgbColor rgb="FF333300"/>
      <rgbColor rgb="FFB42318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6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46296</v>
      </c>
      <c r="D5" s="5" t="s">
        <v>3</v>
      </c>
    </row>
    <row r="7" customFormat="false" ht="15" hidden="false" customHeight="false" outlineLevel="0" collapsed="false">
      <c r="B7" s="6" t="s">
        <v>4</v>
      </c>
    </row>
    <row r="8" customFormat="false" ht="15" hidden="false" customHeight="false" outlineLevel="0" collapsed="false">
      <c r="B8" s="7" t="s">
        <v>5</v>
      </c>
    </row>
    <row r="9" customFormat="false" ht="15" hidden="false" customHeight="false" outlineLevel="0" collapsed="false">
      <c r="B9" s="7" t="s">
        <v>6</v>
      </c>
    </row>
    <row r="10" customFormat="false" ht="15" hidden="false" customHeight="false" outlineLevel="0" collapsed="false">
      <c r="B10" s="7" t="s">
        <v>7</v>
      </c>
    </row>
    <row r="11" customFormat="false" ht="15" hidden="false" customHeight="false" outlineLevel="0" collapsed="false">
      <c r="B11" s="7" t="s">
        <v>8</v>
      </c>
    </row>
    <row r="13" customFormat="false" ht="15" hidden="false" customHeight="false" outlineLevel="0" collapsed="false">
      <c r="B13" s="6" t="s">
        <v>9</v>
      </c>
      <c r="D13" s="6" t="s">
        <v>10</v>
      </c>
    </row>
    <row r="14" customFormat="false" ht="15" hidden="false" customHeight="false" outlineLevel="0" collapsed="false">
      <c r="B14" s="3" t="s">
        <v>11</v>
      </c>
      <c r="C14" s="5" t="s">
        <v>12</v>
      </c>
      <c r="D14" s="7" t="s">
        <v>13</v>
      </c>
    </row>
    <row r="15" customFormat="false" ht="15" hidden="false" customHeight="false" outlineLevel="0" collapsed="false">
      <c r="B15" s="3" t="s">
        <v>14</v>
      </c>
      <c r="C15" s="5" t="s">
        <v>15</v>
      </c>
      <c r="D15" s="7" t="s">
        <v>16</v>
      </c>
    </row>
    <row r="16" customFormat="false" ht="15" hidden="false" customHeight="false" outlineLevel="0" collapsed="false">
      <c r="B16" s="3" t="s">
        <v>17</v>
      </c>
      <c r="C16" s="5" t="s">
        <v>18</v>
      </c>
      <c r="D16" s="7" t="s">
        <v>19</v>
      </c>
    </row>
    <row r="17" customFormat="false" ht="15" hidden="false" customHeight="false" outlineLevel="0" collapsed="false">
      <c r="B17" s="3" t="s">
        <v>20</v>
      </c>
      <c r="C17" s="5" t="s">
        <v>21</v>
      </c>
      <c r="D17" s="7" t="s">
        <v>22</v>
      </c>
    </row>
    <row r="18" customFormat="false" ht="15" hidden="false" customHeight="false" outlineLevel="0" collapsed="false">
      <c r="B18" s="3" t="s">
        <v>23</v>
      </c>
      <c r="C18" s="5" t="s">
        <v>24</v>
      </c>
      <c r="D18" s="7" t="s">
        <v>25</v>
      </c>
    </row>
    <row r="19" customFormat="false" ht="15" hidden="false" customHeight="false" outlineLevel="0" collapsed="false">
      <c r="D19" s="8" t="s">
        <v>26</v>
      </c>
    </row>
    <row r="21" customFormat="false" ht="15" hidden="false" customHeight="false" outlineLevel="0" collapsed="false">
      <c r="B21" s="6" t="s">
        <v>27</v>
      </c>
    </row>
    <row r="22" customFormat="false" ht="15" hidden="false" customHeight="false" outlineLevel="0" collapsed="false">
      <c r="B22" s="9" t="s">
        <v>28</v>
      </c>
      <c r="C22" s="7" t="s">
        <v>29</v>
      </c>
      <c r="D22" s="7" t="s">
        <v>30</v>
      </c>
    </row>
    <row r="23" customFormat="false" ht="15" hidden="false" customHeight="false" outlineLevel="0" collapsed="false">
      <c r="B23" s="10" t="s">
        <v>31</v>
      </c>
      <c r="C23" s="7" t="s">
        <v>32</v>
      </c>
      <c r="D23" s="7" t="s">
        <v>33</v>
      </c>
    </row>
    <row r="24" customFormat="false" ht="15" hidden="false" customHeight="false" outlineLevel="0" collapsed="false">
      <c r="B24" s="11" t="s">
        <v>34</v>
      </c>
      <c r="C24" s="7" t="s">
        <v>35</v>
      </c>
      <c r="D24" s="7" t="s">
        <v>36</v>
      </c>
    </row>
    <row r="25" customFormat="false" ht="15" hidden="false" customHeight="false" outlineLevel="0" collapsed="false">
      <c r="B25" s="12" t="s">
        <v>37</v>
      </c>
      <c r="C25" s="7" t="s">
        <v>38</v>
      </c>
      <c r="D25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9" min="7" style="0" width="9"/>
    <col collapsed="false" customWidth="true" hidden="false" outlineLevel="0" max="10" min="10" style="0" width="11"/>
    <col collapsed="false" customWidth="true" hidden="false" outlineLevel="0" max="11" min="11" style="0" width="40"/>
    <col collapsed="false" customWidth="true" hidden="false" outlineLevel="0" max="12" min="12" style="0" width="18"/>
    <col collapsed="false" customWidth="true" hidden="false" outlineLevel="0" max="14" min="13" style="0" width="12"/>
    <col collapsed="false" customWidth="true" hidden="false" outlineLevel="0" max="17" min="15" style="0" width="9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9"/>
  </cols>
  <sheetData>
    <row r="1" customFormat="false" ht="31.5" hidden="false" customHeight="true" outlineLevel="0" collapsed="false">
      <c r="A1" s="13" t="s">
        <v>40</v>
      </c>
      <c r="B1" s="13" t="s">
        <v>41</v>
      </c>
      <c r="C1" s="13" t="s">
        <v>42</v>
      </c>
      <c r="D1" s="13" t="s">
        <v>43</v>
      </c>
      <c r="E1" s="13" t="s">
        <v>44</v>
      </c>
      <c r="F1" s="13" t="s">
        <v>45</v>
      </c>
      <c r="G1" s="13" t="s">
        <v>46</v>
      </c>
      <c r="H1" s="13" t="s">
        <v>47</v>
      </c>
      <c r="I1" s="13" t="s">
        <v>48</v>
      </c>
      <c r="J1" s="13" t="s">
        <v>49</v>
      </c>
      <c r="K1" s="13" t="s">
        <v>50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55</v>
      </c>
      <c r="Q1" s="13" t="s">
        <v>56</v>
      </c>
      <c r="R1" s="13" t="s">
        <v>57</v>
      </c>
      <c r="S1" s="13" t="s">
        <v>58</v>
      </c>
      <c r="T1" s="13" t="s">
        <v>59</v>
      </c>
    </row>
    <row r="2" customFormat="false" ht="23.85" hidden="false" customHeight="false" outlineLevel="0" collapsed="false">
      <c r="A2" s="14" t="s">
        <v>60</v>
      </c>
      <c r="B2" s="15" t="s">
        <v>61</v>
      </c>
      <c r="C2" s="15" t="s">
        <v>62</v>
      </c>
      <c r="D2" s="15" t="s">
        <v>63</v>
      </c>
      <c r="E2" s="15" t="s">
        <v>64</v>
      </c>
      <c r="F2" s="15" t="s">
        <v>65</v>
      </c>
      <c r="G2" s="16" t="n">
        <v>4</v>
      </c>
      <c r="H2" s="16" t="n">
        <v>4</v>
      </c>
      <c r="I2" s="17" t="n">
        <f aca="false">IF(OR(G2="",H2=""),"",G2*H2)</f>
        <v>16</v>
      </c>
      <c r="J2" s="18" t="str">
        <f aca="false">IF(I2="","",IF(I2&gt;=15,"Critical",IF(I2&gt;=10,"High",IF(I2&gt;=5,"Medium","Low"))))</f>
        <v>Critical</v>
      </c>
      <c r="K2" s="15" t="s">
        <v>66</v>
      </c>
      <c r="L2" s="15" t="s">
        <v>67</v>
      </c>
      <c r="M2" s="19" t="n">
        <v>46341</v>
      </c>
      <c r="N2" s="16" t="s">
        <v>68</v>
      </c>
      <c r="O2" s="16" t="n">
        <v>3</v>
      </c>
      <c r="P2" s="16" t="n">
        <v>4</v>
      </c>
      <c r="Q2" s="17" t="n">
        <f aca="false">IF(OR(O2="",P2=""),"",O2*P2)</f>
        <v>12</v>
      </c>
      <c r="R2" s="18" t="str">
        <f aca="false">IF(Q2="","",IF(Q2&gt;=15,"Critical",IF(Q2&gt;=10,"High",IF(Q2&gt;=5,"Medium","Low"))))</f>
        <v>High</v>
      </c>
      <c r="S2" s="20" t="n">
        <f aca="false">IF(OR(I2="",Q2=""),"",1-Q2/I2)</f>
        <v>0.25</v>
      </c>
      <c r="T2" s="18" t="str">
        <f aca="false">IF(AND(M2&lt;&gt;"",M2&lt;'Read Me'!$C$5,N2&lt;&gt;"Done"),"Yes","")</f>
        <v/>
      </c>
    </row>
    <row r="3" customFormat="false" ht="23.85" hidden="false" customHeight="false" outlineLevel="0" collapsed="false">
      <c r="A3" s="14" t="s">
        <v>69</v>
      </c>
      <c r="B3" s="15" t="s">
        <v>61</v>
      </c>
      <c r="C3" s="15" t="s">
        <v>70</v>
      </c>
      <c r="D3" s="15" t="s">
        <v>71</v>
      </c>
      <c r="E3" s="15" t="s">
        <v>72</v>
      </c>
      <c r="F3" s="15" t="s">
        <v>73</v>
      </c>
      <c r="G3" s="16" t="n">
        <v>3</v>
      </c>
      <c r="H3" s="16" t="n">
        <v>4</v>
      </c>
      <c r="I3" s="17" t="n">
        <f aca="false">IF(OR(G3="",H3=""),"",G3*H3)</f>
        <v>12</v>
      </c>
      <c r="J3" s="18" t="str">
        <f aca="false">IF(I3="","",IF(I3&gt;=15,"Critical",IF(I3&gt;=10,"High",IF(I3&gt;=5,"Medium","Low"))))</f>
        <v>High</v>
      </c>
      <c r="K3" s="15" t="s">
        <v>74</v>
      </c>
      <c r="L3" s="15" t="s">
        <v>75</v>
      </c>
      <c r="M3" s="19" t="n">
        <v>46315</v>
      </c>
      <c r="N3" s="16" t="s">
        <v>76</v>
      </c>
      <c r="O3" s="16" t="n">
        <v>2</v>
      </c>
      <c r="P3" s="16" t="n">
        <v>3</v>
      </c>
      <c r="Q3" s="17" t="n">
        <f aca="false">IF(OR(O3="",P3=""),"",O3*P3)</f>
        <v>6</v>
      </c>
      <c r="R3" s="18" t="str">
        <f aca="false">IF(Q3="","",IF(Q3&gt;=15,"Critical",IF(Q3&gt;=10,"High",IF(Q3&gt;=5,"Medium","Low"))))</f>
        <v>Medium</v>
      </c>
      <c r="S3" s="20" t="n">
        <f aca="false">IF(OR(I3="",Q3=""),"",1-Q3/I3)</f>
        <v>0.5</v>
      </c>
      <c r="T3" s="18" t="str">
        <f aca="false">IF(AND(M3&lt;&gt;"",M3&lt;'Read Me'!$C$5,N3&lt;&gt;"Done"),"Yes","")</f>
        <v/>
      </c>
    </row>
    <row r="4" customFormat="false" ht="23.85" hidden="false" customHeight="false" outlineLevel="0" collapsed="false">
      <c r="A4" s="14" t="s">
        <v>77</v>
      </c>
      <c r="B4" s="15" t="s">
        <v>61</v>
      </c>
      <c r="C4" s="15" t="s">
        <v>78</v>
      </c>
      <c r="D4" s="15" t="s">
        <v>79</v>
      </c>
      <c r="E4" s="15" t="s">
        <v>80</v>
      </c>
      <c r="F4" s="15" t="s">
        <v>81</v>
      </c>
      <c r="G4" s="16" t="n">
        <v>4</v>
      </c>
      <c r="H4" s="16" t="n">
        <v>3</v>
      </c>
      <c r="I4" s="17" t="n">
        <f aca="false">IF(OR(G4="",H4=""),"",G4*H4)</f>
        <v>12</v>
      </c>
      <c r="J4" s="18" t="str">
        <f aca="false">IF(I4="","",IF(I4&gt;=15,"Critical",IF(I4&gt;=10,"High",IF(I4&gt;=5,"Medium","Low"))))</f>
        <v>High</v>
      </c>
      <c r="K4" s="15" t="s">
        <v>82</v>
      </c>
      <c r="L4" s="15" t="s">
        <v>67</v>
      </c>
      <c r="M4" s="19" t="n">
        <v>46295</v>
      </c>
      <c r="N4" s="16" t="s">
        <v>76</v>
      </c>
      <c r="O4" s="16" t="n">
        <v>2</v>
      </c>
      <c r="P4" s="16" t="n">
        <v>3</v>
      </c>
      <c r="Q4" s="17" t="n">
        <f aca="false">IF(OR(O4="",P4=""),"",O4*P4)</f>
        <v>6</v>
      </c>
      <c r="R4" s="18" t="str">
        <f aca="false">IF(Q4="","",IF(Q4&gt;=15,"Critical",IF(Q4&gt;=10,"High",IF(Q4&gt;=5,"Medium","Low"))))</f>
        <v>Medium</v>
      </c>
      <c r="S4" s="20" t="n">
        <f aca="false">IF(OR(I4="",Q4=""),"",1-Q4/I4)</f>
        <v>0.5</v>
      </c>
      <c r="T4" s="18" t="str">
        <f aca="false">IF(AND(M4&lt;&gt;"",M4&lt;'Read Me'!$C$5,N4&lt;&gt;"Done"),"Yes","")</f>
        <v>Yes</v>
      </c>
    </row>
    <row r="5" customFormat="false" ht="23.85" hidden="false" customHeight="false" outlineLevel="0" collapsed="false">
      <c r="A5" s="14" t="s">
        <v>83</v>
      </c>
      <c r="B5" s="15" t="s">
        <v>61</v>
      </c>
      <c r="C5" s="15" t="s">
        <v>84</v>
      </c>
      <c r="D5" s="15" t="s">
        <v>85</v>
      </c>
      <c r="E5" s="15" t="s">
        <v>86</v>
      </c>
      <c r="F5" s="15" t="s">
        <v>87</v>
      </c>
      <c r="G5" s="16" t="n">
        <v>4</v>
      </c>
      <c r="H5" s="16" t="n">
        <v>3</v>
      </c>
      <c r="I5" s="17" t="n">
        <f aca="false">IF(OR(G5="",H5=""),"",G5*H5)</f>
        <v>12</v>
      </c>
      <c r="J5" s="18" t="str">
        <f aca="false">IF(I5="","",IF(I5&gt;=15,"Critical",IF(I5&gt;=10,"High",IF(I5&gt;=5,"Medium","Low"))))</f>
        <v>High</v>
      </c>
      <c r="K5" s="15" t="s">
        <v>88</v>
      </c>
      <c r="L5" s="15" t="s">
        <v>67</v>
      </c>
      <c r="M5" s="19" t="n">
        <v>46371</v>
      </c>
      <c r="N5" s="16" t="s">
        <v>68</v>
      </c>
      <c r="O5" s="16" t="n">
        <v>2</v>
      </c>
      <c r="P5" s="16" t="n">
        <v>2</v>
      </c>
      <c r="Q5" s="17" t="n">
        <f aca="false">IF(OR(O5="",P5=""),"",O5*P5)</f>
        <v>4</v>
      </c>
      <c r="R5" s="18" t="str">
        <f aca="false">IF(Q5="","",IF(Q5&gt;=15,"Critical",IF(Q5&gt;=10,"High",IF(Q5&gt;=5,"Medium","Low"))))</f>
        <v>Low</v>
      </c>
      <c r="S5" s="20" t="n">
        <f aca="false">IF(OR(I5="",Q5=""),"",1-Q5/I5)</f>
        <v>0.666666666666667</v>
      </c>
      <c r="T5" s="18" t="str">
        <f aca="false">IF(AND(M5&lt;&gt;"",M5&lt;'Read Me'!$C$5,N5&lt;&gt;"Done"),"Yes","")</f>
        <v/>
      </c>
    </row>
    <row r="6" customFormat="false" ht="23.85" hidden="false" customHeight="false" outlineLevel="0" collapsed="false">
      <c r="A6" s="14" t="s">
        <v>89</v>
      </c>
      <c r="B6" s="15" t="s">
        <v>90</v>
      </c>
      <c r="C6" s="15" t="s">
        <v>91</v>
      </c>
      <c r="D6" s="15" t="s">
        <v>92</v>
      </c>
      <c r="E6" s="15" t="s">
        <v>93</v>
      </c>
      <c r="F6" s="15" t="s">
        <v>94</v>
      </c>
      <c r="G6" s="16" t="n">
        <v>3</v>
      </c>
      <c r="H6" s="16" t="n">
        <v>5</v>
      </c>
      <c r="I6" s="17" t="n">
        <f aca="false">IF(OR(G6="",H6=""),"",G6*H6)</f>
        <v>15</v>
      </c>
      <c r="J6" s="18" t="str">
        <f aca="false">IF(I6="","",IF(I6&gt;=15,"Critical",IF(I6&gt;=10,"High",IF(I6&gt;=5,"Medium","Low"))))</f>
        <v>Critical</v>
      </c>
      <c r="K6" s="15" t="s">
        <v>95</v>
      </c>
      <c r="L6" s="15" t="s">
        <v>96</v>
      </c>
      <c r="M6" s="19" t="n">
        <v>46327</v>
      </c>
      <c r="N6" s="16" t="s">
        <v>68</v>
      </c>
      <c r="O6" s="16" t="n">
        <v>1</v>
      </c>
      <c r="P6" s="16" t="n">
        <v>5</v>
      </c>
      <c r="Q6" s="17" t="n">
        <f aca="false">IF(OR(O6="",P6=""),"",O6*P6)</f>
        <v>5</v>
      </c>
      <c r="R6" s="18" t="str">
        <f aca="false">IF(Q6="","",IF(Q6&gt;=15,"Critical",IF(Q6&gt;=10,"High",IF(Q6&gt;=5,"Medium","Low"))))</f>
        <v>Medium</v>
      </c>
      <c r="S6" s="20" t="n">
        <f aca="false">IF(OR(I6="",Q6=""),"",1-Q6/I6)</f>
        <v>0.666666666666667</v>
      </c>
      <c r="T6" s="18" t="str">
        <f aca="false">IF(AND(M6&lt;&gt;"",M6&lt;'Read Me'!$C$5,N6&lt;&gt;"Done"),"Yes","")</f>
        <v/>
      </c>
    </row>
    <row r="7" customFormat="false" ht="23.85" hidden="false" customHeight="false" outlineLevel="0" collapsed="false">
      <c r="A7" s="14" t="s">
        <v>97</v>
      </c>
      <c r="B7" s="15" t="s">
        <v>90</v>
      </c>
      <c r="C7" s="15" t="s">
        <v>98</v>
      </c>
      <c r="D7" s="15" t="s">
        <v>99</v>
      </c>
      <c r="E7" s="15" t="s">
        <v>100</v>
      </c>
      <c r="F7" s="15" t="s">
        <v>101</v>
      </c>
      <c r="G7" s="16" t="n">
        <v>4</v>
      </c>
      <c r="H7" s="16" t="n">
        <v>4</v>
      </c>
      <c r="I7" s="17" t="n">
        <f aca="false">IF(OR(G7="",H7=""),"",G7*H7)</f>
        <v>16</v>
      </c>
      <c r="J7" s="18" t="str">
        <f aca="false">IF(I7="","",IF(I7&gt;=15,"Critical",IF(I7&gt;=10,"High",IF(I7&gt;=5,"Medium","Low"))))</f>
        <v>Critical</v>
      </c>
      <c r="K7" s="15" t="s">
        <v>102</v>
      </c>
      <c r="L7" s="15" t="s">
        <v>96</v>
      </c>
      <c r="M7" s="19" t="n">
        <v>46280</v>
      </c>
      <c r="N7" s="16" t="s">
        <v>103</v>
      </c>
      <c r="O7" s="16" t="n">
        <v>2</v>
      </c>
      <c r="P7" s="16" t="n">
        <v>4</v>
      </c>
      <c r="Q7" s="17" t="n">
        <f aca="false">IF(OR(O7="",P7=""),"",O7*P7)</f>
        <v>8</v>
      </c>
      <c r="R7" s="18" t="str">
        <f aca="false">IF(Q7="","",IF(Q7&gt;=15,"Critical",IF(Q7&gt;=10,"High",IF(Q7&gt;=5,"Medium","Low"))))</f>
        <v>Medium</v>
      </c>
      <c r="S7" s="20" t="n">
        <f aca="false">IF(OR(I7="",Q7=""),"",1-Q7/I7)</f>
        <v>0.5</v>
      </c>
      <c r="T7" s="18" t="str">
        <f aca="false">IF(AND(M7&lt;&gt;"",M7&lt;'Read Me'!$C$5,N7&lt;&gt;"Done"),"Yes","")</f>
        <v/>
      </c>
    </row>
    <row r="8" customFormat="false" ht="23.85" hidden="false" customHeight="false" outlineLevel="0" collapsed="false">
      <c r="A8" s="14" t="s">
        <v>104</v>
      </c>
      <c r="B8" s="15" t="s">
        <v>90</v>
      </c>
      <c r="C8" s="15" t="s">
        <v>105</v>
      </c>
      <c r="D8" s="15" t="s">
        <v>106</v>
      </c>
      <c r="E8" s="15" t="s">
        <v>107</v>
      </c>
      <c r="F8" s="15" t="s">
        <v>108</v>
      </c>
      <c r="G8" s="16" t="n">
        <v>4</v>
      </c>
      <c r="H8" s="16" t="n">
        <v>3</v>
      </c>
      <c r="I8" s="17" t="n">
        <f aca="false">IF(OR(G8="",H8=""),"",G8*H8)</f>
        <v>12</v>
      </c>
      <c r="J8" s="18" t="str">
        <f aca="false">IF(I8="","",IF(I8&gt;=15,"Critical",IF(I8&gt;=10,"High",IF(I8&gt;=5,"Medium","Low"))))</f>
        <v>High</v>
      </c>
      <c r="K8" s="15" t="s">
        <v>109</v>
      </c>
      <c r="L8" s="15" t="s">
        <v>110</v>
      </c>
      <c r="M8" s="19" t="n">
        <v>46265</v>
      </c>
      <c r="N8" s="16" t="s">
        <v>103</v>
      </c>
      <c r="O8" s="16" t="n">
        <v>2</v>
      </c>
      <c r="P8" s="16" t="n">
        <v>3</v>
      </c>
      <c r="Q8" s="17" t="n">
        <f aca="false">IF(OR(O8="",P8=""),"",O8*P8)</f>
        <v>6</v>
      </c>
      <c r="R8" s="18" t="str">
        <f aca="false">IF(Q8="","",IF(Q8&gt;=15,"Critical",IF(Q8&gt;=10,"High",IF(Q8&gt;=5,"Medium","Low"))))</f>
        <v>Medium</v>
      </c>
      <c r="S8" s="20" t="n">
        <f aca="false">IF(OR(I8="",Q8=""),"",1-Q8/I8)</f>
        <v>0.5</v>
      </c>
      <c r="T8" s="18" t="str">
        <f aca="false">IF(AND(M8&lt;&gt;"",M8&lt;'Read Me'!$C$5,N8&lt;&gt;"Done"),"Yes","")</f>
        <v/>
      </c>
    </row>
    <row r="9" customFormat="false" ht="23.85" hidden="false" customHeight="false" outlineLevel="0" collapsed="false">
      <c r="A9" s="14" t="s">
        <v>111</v>
      </c>
      <c r="B9" s="15" t="s">
        <v>90</v>
      </c>
      <c r="C9" s="15" t="s">
        <v>112</v>
      </c>
      <c r="D9" s="15" t="s">
        <v>113</v>
      </c>
      <c r="E9" s="15" t="s">
        <v>114</v>
      </c>
      <c r="F9" s="15" t="s">
        <v>115</v>
      </c>
      <c r="G9" s="16" t="n">
        <v>3</v>
      </c>
      <c r="H9" s="16" t="n">
        <v>3</v>
      </c>
      <c r="I9" s="17" t="n">
        <f aca="false">IF(OR(G9="",H9=""),"",G9*H9)</f>
        <v>9</v>
      </c>
      <c r="J9" s="18" t="str">
        <f aca="false">IF(I9="","",IF(I9&gt;=15,"Critical",IF(I9&gt;=10,"High",IF(I9&gt;=5,"Medium","Low"))))</f>
        <v>Medium</v>
      </c>
      <c r="K9" s="15" t="s">
        <v>116</v>
      </c>
      <c r="L9" s="15" t="s">
        <v>96</v>
      </c>
      <c r="M9" s="19" t="n">
        <v>46356</v>
      </c>
      <c r="N9" s="16" t="s">
        <v>68</v>
      </c>
      <c r="O9" s="16" t="n">
        <v>2</v>
      </c>
      <c r="P9" s="16" t="n">
        <v>2</v>
      </c>
      <c r="Q9" s="17" t="n">
        <f aca="false">IF(OR(O9="",P9=""),"",O9*P9)</f>
        <v>4</v>
      </c>
      <c r="R9" s="18" t="str">
        <f aca="false">IF(Q9="","",IF(Q9&gt;=15,"Critical",IF(Q9&gt;=10,"High",IF(Q9&gt;=5,"Medium","Low"))))</f>
        <v>Low</v>
      </c>
      <c r="S9" s="20" t="n">
        <f aca="false">IF(OR(I9="",Q9=""),"",1-Q9/I9)</f>
        <v>0.555555555555556</v>
      </c>
      <c r="T9" s="18" t="str">
        <f aca="false">IF(AND(M9&lt;&gt;"",M9&lt;'Read Me'!$C$5,N9&lt;&gt;"Done"),"Yes","")</f>
        <v/>
      </c>
    </row>
    <row r="10" customFormat="false" ht="23.85" hidden="false" customHeight="false" outlineLevel="0" collapsed="false">
      <c r="A10" s="14" t="s">
        <v>117</v>
      </c>
      <c r="B10" s="15" t="s">
        <v>118</v>
      </c>
      <c r="C10" s="15" t="s">
        <v>119</v>
      </c>
      <c r="D10" s="15" t="s">
        <v>120</v>
      </c>
      <c r="E10" s="15" t="s">
        <v>121</v>
      </c>
      <c r="F10" s="15" t="s">
        <v>122</v>
      </c>
      <c r="G10" s="16" t="n">
        <v>3</v>
      </c>
      <c r="H10" s="16" t="n">
        <v>4</v>
      </c>
      <c r="I10" s="17" t="n">
        <f aca="false">IF(OR(G10="",H10=""),"",G10*H10)</f>
        <v>12</v>
      </c>
      <c r="J10" s="18" t="str">
        <f aca="false">IF(I10="","",IF(I10&gt;=15,"Critical",IF(I10&gt;=10,"High",IF(I10&gt;=5,"Medium","Low"))))</f>
        <v>High</v>
      </c>
      <c r="K10" s="15" t="s">
        <v>123</v>
      </c>
      <c r="L10" s="15" t="s">
        <v>124</v>
      </c>
      <c r="M10" s="19" t="n">
        <v>46357</v>
      </c>
      <c r="N10" s="16" t="s">
        <v>68</v>
      </c>
      <c r="O10" s="16" t="n">
        <v>2</v>
      </c>
      <c r="P10" s="16" t="n">
        <v>3</v>
      </c>
      <c r="Q10" s="17" t="n">
        <f aca="false">IF(OR(O10="",P10=""),"",O10*P10)</f>
        <v>6</v>
      </c>
      <c r="R10" s="18" t="str">
        <f aca="false">IF(Q10="","",IF(Q10&gt;=15,"Critical",IF(Q10&gt;=10,"High",IF(Q10&gt;=5,"Medium","Low"))))</f>
        <v>Medium</v>
      </c>
      <c r="S10" s="20" t="n">
        <f aca="false">IF(OR(I10="",Q10=""),"",1-Q10/I10)</f>
        <v>0.5</v>
      </c>
      <c r="T10" s="18" t="str">
        <f aca="false">IF(AND(M10&lt;&gt;"",M10&lt;'Read Me'!$C$5,N10&lt;&gt;"Done"),"Yes","")</f>
        <v/>
      </c>
    </row>
    <row r="11" customFormat="false" ht="23.85" hidden="false" customHeight="false" outlineLevel="0" collapsed="false">
      <c r="A11" s="14" t="s">
        <v>125</v>
      </c>
      <c r="B11" s="15" t="s">
        <v>118</v>
      </c>
      <c r="C11" s="15" t="s">
        <v>126</v>
      </c>
      <c r="D11" s="15" t="s">
        <v>127</v>
      </c>
      <c r="E11" s="15" t="s">
        <v>128</v>
      </c>
      <c r="F11" s="15" t="s">
        <v>129</v>
      </c>
      <c r="G11" s="16" t="n">
        <v>3</v>
      </c>
      <c r="H11" s="16" t="n">
        <v>3</v>
      </c>
      <c r="I11" s="17" t="n">
        <f aca="false">IF(OR(G11="",H11=""),"",G11*H11)</f>
        <v>9</v>
      </c>
      <c r="J11" s="18" t="str">
        <f aca="false">IF(I11="","",IF(I11&gt;=15,"Critical",IF(I11&gt;=10,"High",IF(I11&gt;=5,"Medium","Low"))))</f>
        <v>Medium</v>
      </c>
      <c r="K11" s="15" t="s">
        <v>130</v>
      </c>
      <c r="L11" s="15" t="s">
        <v>131</v>
      </c>
      <c r="M11" s="19" t="n">
        <v>46266</v>
      </c>
      <c r="N11" s="16" t="s">
        <v>103</v>
      </c>
      <c r="O11" s="16" t="n">
        <v>1</v>
      </c>
      <c r="P11" s="16" t="n">
        <v>3</v>
      </c>
      <c r="Q11" s="17" t="n">
        <f aca="false">IF(OR(O11="",P11=""),"",O11*P11)</f>
        <v>3</v>
      </c>
      <c r="R11" s="18" t="str">
        <f aca="false">IF(Q11="","",IF(Q11&gt;=15,"Critical",IF(Q11&gt;=10,"High",IF(Q11&gt;=5,"Medium","Low"))))</f>
        <v>Low</v>
      </c>
      <c r="S11" s="20" t="n">
        <f aca="false">IF(OR(I11="",Q11=""),"",1-Q11/I11)</f>
        <v>0.666666666666667</v>
      </c>
      <c r="T11" s="18" t="str">
        <f aca="false">IF(AND(M11&lt;&gt;"",M11&lt;'Read Me'!$C$5,N11&lt;&gt;"Done"),"Yes","")</f>
        <v/>
      </c>
    </row>
    <row r="12" customFormat="false" ht="23.85" hidden="false" customHeight="false" outlineLevel="0" collapsed="false">
      <c r="A12" s="14" t="s">
        <v>132</v>
      </c>
      <c r="B12" s="15" t="s">
        <v>118</v>
      </c>
      <c r="C12" s="15" t="s">
        <v>133</v>
      </c>
      <c r="D12" s="15" t="s">
        <v>134</v>
      </c>
      <c r="E12" s="15" t="s">
        <v>135</v>
      </c>
      <c r="F12" s="15" t="s">
        <v>136</v>
      </c>
      <c r="G12" s="16" t="n">
        <v>3</v>
      </c>
      <c r="H12" s="16" t="n">
        <v>5</v>
      </c>
      <c r="I12" s="17" t="n">
        <f aca="false">IF(OR(G12="",H12=""),"",G12*H12)</f>
        <v>15</v>
      </c>
      <c r="J12" s="18" t="str">
        <f aca="false">IF(I12="","",IF(I12&gt;=15,"Critical",IF(I12&gt;=10,"High",IF(I12&gt;=5,"Medium","Low"))))</f>
        <v>Critical</v>
      </c>
      <c r="K12" s="15" t="s">
        <v>137</v>
      </c>
      <c r="L12" s="15" t="s">
        <v>138</v>
      </c>
      <c r="M12" s="19" t="n">
        <v>46336</v>
      </c>
      <c r="N12" s="16" t="s">
        <v>68</v>
      </c>
      <c r="O12" s="16" t="n">
        <v>1</v>
      </c>
      <c r="P12" s="16" t="n">
        <v>5</v>
      </c>
      <c r="Q12" s="17" t="n">
        <f aca="false">IF(OR(O12="",P12=""),"",O12*P12)</f>
        <v>5</v>
      </c>
      <c r="R12" s="18" t="str">
        <f aca="false">IF(Q12="","",IF(Q12&gt;=15,"Critical",IF(Q12&gt;=10,"High",IF(Q12&gt;=5,"Medium","Low"))))</f>
        <v>Medium</v>
      </c>
      <c r="S12" s="20" t="n">
        <f aca="false">IF(OR(I12="",Q12=""),"",1-Q12/I12)</f>
        <v>0.666666666666667</v>
      </c>
      <c r="T12" s="18" t="str">
        <f aca="false">IF(AND(M12&lt;&gt;"",M12&lt;'Read Me'!$C$5,N12&lt;&gt;"Done"),"Yes","")</f>
        <v/>
      </c>
    </row>
    <row r="13" customFormat="false" ht="23.85" hidden="false" customHeight="false" outlineLevel="0" collapsed="false">
      <c r="A13" s="14" t="s">
        <v>139</v>
      </c>
      <c r="B13" s="15" t="s">
        <v>140</v>
      </c>
      <c r="C13" s="15" t="s">
        <v>141</v>
      </c>
      <c r="D13" s="15" t="s">
        <v>142</v>
      </c>
      <c r="E13" s="15" t="s">
        <v>143</v>
      </c>
      <c r="F13" s="15" t="s">
        <v>144</v>
      </c>
      <c r="G13" s="16" t="n">
        <v>2</v>
      </c>
      <c r="H13" s="16" t="n">
        <v>5</v>
      </c>
      <c r="I13" s="17" t="n">
        <f aca="false">IF(OR(G13="",H13=""),"",G13*H13)</f>
        <v>10</v>
      </c>
      <c r="J13" s="18" t="str">
        <f aca="false">IF(I13="","",IF(I13&gt;=15,"Critical",IF(I13&gt;=10,"High",IF(I13&gt;=5,"Medium","Low"))))</f>
        <v>High</v>
      </c>
      <c r="K13" s="15" t="s">
        <v>145</v>
      </c>
      <c r="L13" s="15" t="s">
        <v>138</v>
      </c>
      <c r="M13" s="19" t="n">
        <v>46326</v>
      </c>
      <c r="N13" s="16" t="s">
        <v>76</v>
      </c>
      <c r="O13" s="16" t="n">
        <v>1</v>
      </c>
      <c r="P13" s="16" t="n">
        <v>5</v>
      </c>
      <c r="Q13" s="17" t="n">
        <f aca="false">IF(OR(O13="",P13=""),"",O13*P13)</f>
        <v>5</v>
      </c>
      <c r="R13" s="18" t="str">
        <f aca="false">IF(Q13="","",IF(Q13&gt;=15,"Critical",IF(Q13&gt;=10,"High",IF(Q13&gt;=5,"Medium","Low"))))</f>
        <v>Medium</v>
      </c>
      <c r="S13" s="20" t="n">
        <f aca="false">IF(OR(I13="",Q13=""),"",1-Q13/I13)</f>
        <v>0.5</v>
      </c>
      <c r="T13" s="18" t="str">
        <f aca="false">IF(AND(M13&lt;&gt;"",M13&lt;'Read Me'!$C$5,N13&lt;&gt;"Done"),"Yes","")</f>
        <v/>
      </c>
    </row>
    <row r="14" customFormat="false" ht="23.85" hidden="false" customHeight="false" outlineLevel="0" collapsed="false">
      <c r="A14" s="14" t="s">
        <v>146</v>
      </c>
      <c r="B14" s="15" t="s">
        <v>140</v>
      </c>
      <c r="C14" s="15" t="s">
        <v>147</v>
      </c>
      <c r="D14" s="15" t="s">
        <v>148</v>
      </c>
      <c r="E14" s="15" t="s">
        <v>149</v>
      </c>
      <c r="F14" s="15" t="s">
        <v>150</v>
      </c>
      <c r="G14" s="16" t="n">
        <v>3</v>
      </c>
      <c r="H14" s="16" t="n">
        <v>4</v>
      </c>
      <c r="I14" s="17" t="n">
        <f aca="false">IF(OR(G14="",H14=""),"",G14*H14)</f>
        <v>12</v>
      </c>
      <c r="J14" s="18" t="str">
        <f aca="false">IF(I14="","",IF(I14&gt;=15,"Critical",IF(I14&gt;=10,"High",IF(I14&gt;=5,"Medium","Low"))))</f>
        <v>High</v>
      </c>
      <c r="K14" s="15" t="s">
        <v>151</v>
      </c>
      <c r="L14" s="15" t="s">
        <v>124</v>
      </c>
      <c r="M14" s="19" t="n">
        <v>46275</v>
      </c>
      <c r="N14" s="16" t="s">
        <v>103</v>
      </c>
      <c r="O14" s="16" t="n">
        <v>1</v>
      </c>
      <c r="P14" s="16" t="n">
        <v>4</v>
      </c>
      <c r="Q14" s="17" t="n">
        <f aca="false">IF(OR(O14="",P14=""),"",O14*P14)</f>
        <v>4</v>
      </c>
      <c r="R14" s="18" t="str">
        <f aca="false">IF(Q14="","",IF(Q14&gt;=15,"Critical",IF(Q14&gt;=10,"High",IF(Q14&gt;=5,"Medium","Low"))))</f>
        <v>Low</v>
      </c>
      <c r="S14" s="20" t="n">
        <f aca="false">IF(OR(I14="",Q14=""),"",1-Q14/I14)</f>
        <v>0.666666666666667</v>
      </c>
      <c r="T14" s="18" t="str">
        <f aca="false">IF(AND(M14&lt;&gt;"",M14&lt;'Read Me'!$C$5,N14&lt;&gt;"Done"),"Yes","")</f>
        <v/>
      </c>
    </row>
    <row r="15" customFormat="false" ht="23.85" hidden="false" customHeight="false" outlineLevel="0" collapsed="false">
      <c r="A15" s="14" t="s">
        <v>152</v>
      </c>
      <c r="B15" s="15" t="s">
        <v>140</v>
      </c>
      <c r="C15" s="15" t="s">
        <v>153</v>
      </c>
      <c r="D15" s="15" t="s">
        <v>154</v>
      </c>
      <c r="E15" s="15" t="s">
        <v>155</v>
      </c>
      <c r="F15" s="15" t="s">
        <v>156</v>
      </c>
      <c r="G15" s="16" t="n">
        <v>3</v>
      </c>
      <c r="H15" s="16" t="n">
        <v>4</v>
      </c>
      <c r="I15" s="17" t="n">
        <f aca="false">IF(OR(G15="",H15=""),"",G15*H15)</f>
        <v>12</v>
      </c>
      <c r="J15" s="18" t="str">
        <f aca="false">IF(I15="","",IF(I15&gt;=15,"Critical",IF(I15&gt;=10,"High",IF(I15&gt;=5,"Medium","Low"))))</f>
        <v>High</v>
      </c>
      <c r="K15" s="15" t="s">
        <v>157</v>
      </c>
      <c r="L15" s="15" t="s">
        <v>138</v>
      </c>
      <c r="M15" s="19" t="n">
        <v>46285</v>
      </c>
      <c r="N15" s="16" t="s">
        <v>76</v>
      </c>
      <c r="O15" s="16" t="n">
        <v>2</v>
      </c>
      <c r="P15" s="16" t="n">
        <v>3</v>
      </c>
      <c r="Q15" s="17" t="n">
        <f aca="false">IF(OR(O15="",P15=""),"",O15*P15)</f>
        <v>6</v>
      </c>
      <c r="R15" s="18" t="str">
        <f aca="false">IF(Q15="","",IF(Q15&gt;=15,"Critical",IF(Q15&gt;=10,"High",IF(Q15&gt;=5,"Medium","Low"))))</f>
        <v>Medium</v>
      </c>
      <c r="S15" s="20" t="n">
        <f aca="false">IF(OR(I15="",Q15=""),"",1-Q15/I15)</f>
        <v>0.5</v>
      </c>
      <c r="T15" s="18" t="str">
        <f aca="false">IF(AND(M15&lt;&gt;"",M15&lt;'Read Me'!$C$5,N15&lt;&gt;"Done"),"Yes","")</f>
        <v>Yes</v>
      </c>
    </row>
    <row r="16" customFormat="false" ht="23.85" hidden="false" customHeight="false" outlineLevel="0" collapsed="false">
      <c r="A16" s="14" t="s">
        <v>158</v>
      </c>
      <c r="B16" s="15" t="s">
        <v>159</v>
      </c>
      <c r="C16" s="15" t="s">
        <v>160</v>
      </c>
      <c r="D16" s="15" t="s">
        <v>161</v>
      </c>
      <c r="E16" s="15" t="s">
        <v>162</v>
      </c>
      <c r="F16" s="15" t="s">
        <v>163</v>
      </c>
      <c r="G16" s="16" t="n">
        <v>3</v>
      </c>
      <c r="H16" s="16" t="n">
        <v>4</v>
      </c>
      <c r="I16" s="17" t="n">
        <f aca="false">IF(OR(G16="",H16=""),"",G16*H16)</f>
        <v>12</v>
      </c>
      <c r="J16" s="18" t="str">
        <f aca="false">IF(I16="","",IF(I16&gt;=15,"Critical",IF(I16&gt;=10,"High",IF(I16&gt;=5,"Medium","Low"))))</f>
        <v>High</v>
      </c>
      <c r="K16" s="15" t="s">
        <v>164</v>
      </c>
      <c r="L16" s="15" t="s">
        <v>67</v>
      </c>
      <c r="M16" s="19" t="n">
        <v>46320</v>
      </c>
      <c r="N16" s="16" t="s">
        <v>68</v>
      </c>
      <c r="O16" s="16" t="n">
        <v>1</v>
      </c>
      <c r="P16" s="16" t="n">
        <v>4</v>
      </c>
      <c r="Q16" s="17" t="n">
        <f aca="false">IF(OR(O16="",P16=""),"",O16*P16)</f>
        <v>4</v>
      </c>
      <c r="R16" s="18" t="str">
        <f aca="false">IF(Q16="","",IF(Q16&gt;=15,"Critical",IF(Q16&gt;=10,"High",IF(Q16&gt;=5,"Medium","Low"))))</f>
        <v>Low</v>
      </c>
      <c r="S16" s="20" t="n">
        <f aca="false">IF(OR(I16="",Q16=""),"",1-Q16/I16)</f>
        <v>0.666666666666667</v>
      </c>
      <c r="T16" s="18" t="str">
        <f aca="false">IF(AND(M16&lt;&gt;"",M16&lt;'Read Me'!$C$5,N16&lt;&gt;"Done"),"Yes","")</f>
        <v/>
      </c>
    </row>
    <row r="17" customFormat="false" ht="23.85" hidden="false" customHeight="false" outlineLevel="0" collapsed="false">
      <c r="A17" s="14" t="s">
        <v>165</v>
      </c>
      <c r="B17" s="15" t="s">
        <v>159</v>
      </c>
      <c r="C17" s="15" t="s">
        <v>166</v>
      </c>
      <c r="D17" s="15" t="s">
        <v>167</v>
      </c>
      <c r="E17" s="15" t="s">
        <v>168</v>
      </c>
      <c r="F17" s="15" t="s">
        <v>169</v>
      </c>
      <c r="G17" s="16" t="n">
        <v>2</v>
      </c>
      <c r="H17" s="16" t="n">
        <v>3</v>
      </c>
      <c r="I17" s="17" t="n">
        <f aca="false">IF(OR(G17="",H17=""),"",G17*H17)</f>
        <v>6</v>
      </c>
      <c r="J17" s="18" t="str">
        <f aca="false">IF(I17="","",IF(I17&gt;=15,"Critical",IF(I17&gt;=10,"High",IF(I17&gt;=5,"Medium","Low"))))</f>
        <v>Medium</v>
      </c>
      <c r="K17" s="15" t="s">
        <v>170</v>
      </c>
      <c r="L17" s="15" t="s">
        <v>75</v>
      </c>
      <c r="M17" s="19" t="n">
        <v>46346</v>
      </c>
      <c r="N17" s="16" t="s">
        <v>76</v>
      </c>
      <c r="O17" s="16" t="n">
        <v>1</v>
      </c>
      <c r="P17" s="16" t="n">
        <v>3</v>
      </c>
      <c r="Q17" s="17" t="n">
        <f aca="false">IF(OR(O17="",P17=""),"",O17*P17)</f>
        <v>3</v>
      </c>
      <c r="R17" s="18" t="str">
        <f aca="false">IF(Q17="","",IF(Q17&gt;=15,"Critical",IF(Q17&gt;=10,"High",IF(Q17&gt;=5,"Medium","Low"))))</f>
        <v>Low</v>
      </c>
      <c r="S17" s="20" t="n">
        <f aca="false">IF(OR(I17="",Q17=""),"",1-Q17/I17)</f>
        <v>0.5</v>
      </c>
      <c r="T17" s="18" t="str">
        <f aca="false">IF(AND(M17&lt;&gt;"",M17&lt;'Read Me'!$C$5,N17&lt;&gt;"Done"),"Yes","")</f>
        <v/>
      </c>
    </row>
    <row r="18" customFormat="false" ht="23.85" hidden="false" customHeight="false" outlineLevel="0" collapsed="false">
      <c r="A18" s="14" t="s">
        <v>171</v>
      </c>
      <c r="B18" s="15" t="s">
        <v>159</v>
      </c>
      <c r="C18" s="15" t="s">
        <v>172</v>
      </c>
      <c r="D18" s="15" t="s">
        <v>173</v>
      </c>
      <c r="E18" s="15" t="s">
        <v>174</v>
      </c>
      <c r="F18" s="15" t="s">
        <v>175</v>
      </c>
      <c r="G18" s="16" t="n">
        <v>2</v>
      </c>
      <c r="H18" s="16" t="n">
        <v>4</v>
      </c>
      <c r="I18" s="17" t="n">
        <f aca="false">IF(OR(G18="",H18=""),"",G18*H18)</f>
        <v>8</v>
      </c>
      <c r="J18" s="18" t="str">
        <f aca="false">IF(I18="","",IF(I18&gt;=15,"Critical",IF(I18&gt;=10,"High",IF(I18&gt;=5,"Medium","Low"))))</f>
        <v>Medium</v>
      </c>
      <c r="K18" s="15" t="s">
        <v>176</v>
      </c>
      <c r="L18" s="15" t="s">
        <v>177</v>
      </c>
      <c r="M18" s="19" t="n">
        <v>46402</v>
      </c>
      <c r="N18" s="16" t="s">
        <v>76</v>
      </c>
      <c r="O18" s="16" t="n">
        <v>1</v>
      </c>
      <c r="P18" s="16" t="n">
        <v>3</v>
      </c>
      <c r="Q18" s="17" t="n">
        <f aca="false">IF(OR(O18="",P18=""),"",O18*P18)</f>
        <v>3</v>
      </c>
      <c r="R18" s="18" t="str">
        <f aca="false">IF(Q18="","",IF(Q18&gt;=15,"Critical",IF(Q18&gt;=10,"High",IF(Q18&gt;=5,"Medium","Low"))))</f>
        <v>Low</v>
      </c>
      <c r="S18" s="20" t="n">
        <f aca="false">IF(OR(I18="",Q18=""),"",1-Q18/I18)</f>
        <v>0.625</v>
      </c>
      <c r="T18" s="18" t="str">
        <f aca="false">IF(AND(M18&lt;&gt;"",M18&lt;'Read Me'!$C$5,N18&lt;&gt;"Done"),"Yes","")</f>
        <v/>
      </c>
    </row>
    <row r="19" customFormat="false" ht="23.85" hidden="false" customHeight="false" outlineLevel="0" collapsed="false">
      <c r="A19" s="14" t="s">
        <v>178</v>
      </c>
      <c r="B19" s="15" t="s">
        <v>179</v>
      </c>
      <c r="C19" s="15" t="s">
        <v>180</v>
      </c>
      <c r="D19" s="15" t="s">
        <v>181</v>
      </c>
      <c r="E19" s="15" t="s">
        <v>182</v>
      </c>
      <c r="F19" s="15" t="s">
        <v>183</v>
      </c>
      <c r="G19" s="16" t="n">
        <v>4</v>
      </c>
      <c r="H19" s="16" t="n">
        <v>3</v>
      </c>
      <c r="I19" s="17" t="n">
        <f aca="false">IF(OR(G19="",H19=""),"",G19*H19)</f>
        <v>12</v>
      </c>
      <c r="J19" s="18" t="str">
        <f aca="false">IF(I19="","",IF(I19&gt;=15,"Critical",IF(I19&gt;=10,"High",IF(I19&gt;=5,"Medium","Low"))))</f>
        <v>High</v>
      </c>
      <c r="K19" s="15" t="s">
        <v>184</v>
      </c>
      <c r="L19" s="15" t="s">
        <v>185</v>
      </c>
      <c r="M19" s="19" t="n">
        <v>46310</v>
      </c>
      <c r="N19" s="16" t="s">
        <v>76</v>
      </c>
      <c r="O19" s="16" t="n">
        <v>2</v>
      </c>
      <c r="P19" s="16" t="n">
        <v>3</v>
      </c>
      <c r="Q19" s="17" t="n">
        <f aca="false">IF(OR(O19="",P19=""),"",O19*P19)</f>
        <v>6</v>
      </c>
      <c r="R19" s="18" t="str">
        <f aca="false">IF(Q19="","",IF(Q19&gt;=15,"Critical",IF(Q19&gt;=10,"High",IF(Q19&gt;=5,"Medium","Low"))))</f>
        <v>Medium</v>
      </c>
      <c r="S19" s="20" t="n">
        <f aca="false">IF(OR(I19="",Q19=""),"",1-Q19/I19)</f>
        <v>0.5</v>
      </c>
      <c r="T19" s="18" t="str">
        <f aca="false">IF(AND(M19&lt;&gt;"",M19&lt;'Read Me'!$C$5,N19&lt;&gt;"Done"),"Yes","")</f>
        <v/>
      </c>
    </row>
    <row r="20" customFormat="false" ht="23.85" hidden="false" customHeight="false" outlineLevel="0" collapsed="false">
      <c r="A20" s="14" t="s">
        <v>186</v>
      </c>
      <c r="B20" s="15" t="s">
        <v>187</v>
      </c>
      <c r="C20" s="15" t="s">
        <v>188</v>
      </c>
      <c r="D20" s="15" t="s">
        <v>189</v>
      </c>
      <c r="E20" s="15" t="s">
        <v>190</v>
      </c>
      <c r="F20" s="15" t="s">
        <v>191</v>
      </c>
      <c r="G20" s="16" t="n">
        <v>3</v>
      </c>
      <c r="H20" s="16" t="n">
        <v>4</v>
      </c>
      <c r="I20" s="17" t="n">
        <f aca="false">IF(OR(G20="",H20=""),"",G20*H20)</f>
        <v>12</v>
      </c>
      <c r="J20" s="18" t="str">
        <f aca="false">IF(I20="","",IF(I20&gt;=15,"Critical",IF(I20&gt;=10,"High",IF(I20&gt;=5,"Medium","Low"))))</f>
        <v>High</v>
      </c>
      <c r="K20" s="15" t="s">
        <v>192</v>
      </c>
      <c r="L20" s="15" t="s">
        <v>193</v>
      </c>
      <c r="M20" s="19" t="n">
        <v>46270</v>
      </c>
      <c r="N20" s="16" t="s">
        <v>103</v>
      </c>
      <c r="O20" s="16" t="n">
        <v>1</v>
      </c>
      <c r="P20" s="16" t="n">
        <v>4</v>
      </c>
      <c r="Q20" s="17" t="n">
        <f aca="false">IF(OR(O20="",P20=""),"",O20*P20)</f>
        <v>4</v>
      </c>
      <c r="R20" s="18" t="str">
        <f aca="false">IF(Q20="","",IF(Q20&gt;=15,"Critical",IF(Q20&gt;=10,"High",IF(Q20&gt;=5,"Medium","Low"))))</f>
        <v>Low</v>
      </c>
      <c r="S20" s="20" t="n">
        <f aca="false">IF(OR(I20="",Q20=""),"",1-Q20/I20)</f>
        <v>0.666666666666667</v>
      </c>
      <c r="T20" s="18" t="str">
        <f aca="false">IF(AND(M20&lt;&gt;"",M20&lt;'Read Me'!$C$5,N20&lt;&gt;"Done"),"Yes","")</f>
        <v/>
      </c>
    </row>
    <row r="21" customFormat="false" ht="23.85" hidden="false" customHeight="false" outlineLevel="0" collapsed="false">
      <c r="A21" s="14" t="s">
        <v>194</v>
      </c>
      <c r="B21" s="15" t="s">
        <v>187</v>
      </c>
      <c r="C21" s="15" t="s">
        <v>195</v>
      </c>
      <c r="D21" s="15" t="s">
        <v>196</v>
      </c>
      <c r="E21" s="15" t="s">
        <v>197</v>
      </c>
      <c r="F21" s="15" t="s">
        <v>198</v>
      </c>
      <c r="G21" s="16" t="n">
        <v>2</v>
      </c>
      <c r="H21" s="16" t="n">
        <v>4</v>
      </c>
      <c r="I21" s="17" t="n">
        <f aca="false">IF(OR(G21="",H21=""),"",G21*H21)</f>
        <v>8</v>
      </c>
      <c r="J21" s="18" t="str">
        <f aca="false">IF(I21="","",IF(I21&gt;=15,"Critical",IF(I21&gt;=10,"High",IF(I21&gt;=5,"Medium","Low"))))</f>
        <v>Medium</v>
      </c>
      <c r="K21" s="15" t="s">
        <v>199</v>
      </c>
      <c r="L21" s="15" t="s">
        <v>185</v>
      </c>
      <c r="M21" s="19" t="n">
        <v>46387</v>
      </c>
      <c r="N21" s="16" t="s">
        <v>76</v>
      </c>
      <c r="O21" s="16" t="n">
        <v>2</v>
      </c>
      <c r="P21" s="16" t="n">
        <v>3</v>
      </c>
      <c r="Q21" s="17" t="n">
        <f aca="false">IF(OR(O21="",P21=""),"",O21*P21)</f>
        <v>6</v>
      </c>
      <c r="R21" s="18" t="str">
        <f aca="false">IF(Q21="","",IF(Q21&gt;=15,"Critical",IF(Q21&gt;=10,"High",IF(Q21&gt;=5,"Medium","Low"))))</f>
        <v>Medium</v>
      </c>
      <c r="S21" s="20" t="n">
        <f aca="false">IF(OR(I21="",Q21=""),"",1-Q21/I21)</f>
        <v>0.25</v>
      </c>
      <c r="T21" s="18" t="str">
        <f aca="false">IF(AND(M21&lt;&gt;"",M21&lt;'Read Me'!$C$5,N21&lt;&gt;"Done"),"Yes","")</f>
        <v/>
      </c>
    </row>
    <row r="22" customFormat="false" ht="15" hidden="false" customHeight="false" outlineLevel="0" collapsed="false">
      <c r="A22" s="21"/>
      <c r="B22" s="22"/>
      <c r="C22" s="22"/>
      <c r="D22" s="22"/>
      <c r="E22" s="22"/>
      <c r="F22" s="22"/>
      <c r="G22" s="22"/>
      <c r="H22" s="22"/>
      <c r="I22" s="23" t="str">
        <f aca="false">IF(OR(G22="",H22=""),"",G22*H22)</f>
        <v/>
      </c>
      <c r="J22" s="23" t="str">
        <f aca="false">IF(I22="","",IF(I22&gt;=15,"Critical",IF(I22&gt;=10,"High",IF(I22&gt;=5,"Medium","Low"))))</f>
        <v/>
      </c>
      <c r="K22" s="22"/>
      <c r="L22" s="22"/>
      <c r="M22" s="24"/>
      <c r="N22" s="22"/>
      <c r="O22" s="22"/>
      <c r="P22" s="22"/>
      <c r="Q22" s="23" t="str">
        <f aca="false">IF(OR(O22="",P22=""),"",O22*P22)</f>
        <v/>
      </c>
      <c r="R22" s="23" t="str">
        <f aca="false">IF(Q22="","",IF(Q22&gt;=15,"Critical",IF(Q22&gt;=10,"High",IF(Q22&gt;=5,"Medium","Low"))))</f>
        <v/>
      </c>
      <c r="S22" s="25" t="str">
        <f aca="false">IF(OR(I22="",Q22=""),"",1-Q22/I22)</f>
        <v/>
      </c>
      <c r="T22" s="23" t="str">
        <f aca="false">IF(AND(M22&lt;&gt;"",M22&lt;'Read Me'!$C$5,N22&lt;&gt;"Done"),"Yes","")</f>
        <v/>
      </c>
    </row>
    <row r="23" customFormat="false" ht="15" hidden="false" customHeight="false" outlineLevel="0" collapsed="false">
      <c r="A23" s="21"/>
      <c r="B23" s="22"/>
      <c r="C23" s="22"/>
      <c r="D23" s="22"/>
      <c r="E23" s="22"/>
      <c r="F23" s="22"/>
      <c r="G23" s="22"/>
      <c r="H23" s="22"/>
      <c r="I23" s="23" t="str">
        <f aca="false">IF(OR(G23="",H23=""),"",G23*H23)</f>
        <v/>
      </c>
      <c r="J23" s="23" t="str">
        <f aca="false">IF(I23="","",IF(I23&gt;=15,"Critical",IF(I23&gt;=10,"High",IF(I23&gt;=5,"Medium","Low"))))</f>
        <v/>
      </c>
      <c r="K23" s="22"/>
      <c r="L23" s="22"/>
      <c r="M23" s="24"/>
      <c r="N23" s="22"/>
      <c r="O23" s="22"/>
      <c r="P23" s="22"/>
      <c r="Q23" s="23" t="str">
        <f aca="false">IF(OR(O23="",P23=""),"",O23*P23)</f>
        <v/>
      </c>
      <c r="R23" s="23" t="str">
        <f aca="false">IF(Q23="","",IF(Q23&gt;=15,"Critical",IF(Q23&gt;=10,"High",IF(Q23&gt;=5,"Medium","Low"))))</f>
        <v/>
      </c>
      <c r="S23" s="25" t="str">
        <f aca="false">IF(OR(I23="",Q23=""),"",1-Q23/I23)</f>
        <v/>
      </c>
      <c r="T23" s="23" t="str">
        <f aca="false">IF(AND(M23&lt;&gt;"",M23&lt;'Read Me'!$C$5,N23&lt;&gt;"Done"),"Yes","")</f>
        <v/>
      </c>
    </row>
    <row r="24" customFormat="false" ht="15" hidden="false" customHeight="false" outlineLevel="0" collapsed="false">
      <c r="A24" s="21"/>
      <c r="B24" s="22"/>
      <c r="C24" s="22"/>
      <c r="D24" s="22"/>
      <c r="E24" s="22"/>
      <c r="F24" s="22"/>
      <c r="G24" s="22"/>
      <c r="H24" s="22"/>
      <c r="I24" s="23" t="str">
        <f aca="false">IF(OR(G24="",H24=""),"",G24*H24)</f>
        <v/>
      </c>
      <c r="J24" s="23" t="str">
        <f aca="false">IF(I24="","",IF(I24&gt;=15,"Critical",IF(I24&gt;=10,"High",IF(I24&gt;=5,"Medium","Low"))))</f>
        <v/>
      </c>
      <c r="K24" s="22"/>
      <c r="L24" s="22"/>
      <c r="M24" s="24"/>
      <c r="N24" s="22"/>
      <c r="O24" s="22"/>
      <c r="P24" s="22"/>
      <c r="Q24" s="23" t="str">
        <f aca="false">IF(OR(O24="",P24=""),"",O24*P24)</f>
        <v/>
      </c>
      <c r="R24" s="23" t="str">
        <f aca="false">IF(Q24="","",IF(Q24&gt;=15,"Critical",IF(Q24&gt;=10,"High",IF(Q24&gt;=5,"Medium","Low"))))</f>
        <v/>
      </c>
      <c r="S24" s="25" t="str">
        <f aca="false">IF(OR(I24="",Q24=""),"",1-Q24/I24)</f>
        <v/>
      </c>
      <c r="T24" s="23" t="str">
        <f aca="false">IF(AND(M24&lt;&gt;"",M24&lt;'Read Me'!$C$5,N24&lt;&gt;"Done"),"Yes","")</f>
        <v/>
      </c>
    </row>
    <row r="25" customFormat="false" ht="15" hidden="false" customHeight="false" outlineLevel="0" collapsed="false">
      <c r="A25" s="21"/>
      <c r="B25" s="22"/>
      <c r="C25" s="22"/>
      <c r="D25" s="22"/>
      <c r="E25" s="22"/>
      <c r="F25" s="22"/>
      <c r="G25" s="22"/>
      <c r="H25" s="22"/>
      <c r="I25" s="23" t="str">
        <f aca="false">IF(OR(G25="",H25=""),"",G25*H25)</f>
        <v/>
      </c>
      <c r="J25" s="23" t="str">
        <f aca="false">IF(I25="","",IF(I25&gt;=15,"Critical",IF(I25&gt;=10,"High",IF(I25&gt;=5,"Medium","Low"))))</f>
        <v/>
      </c>
      <c r="K25" s="22"/>
      <c r="L25" s="22"/>
      <c r="M25" s="24"/>
      <c r="N25" s="22"/>
      <c r="O25" s="22"/>
      <c r="P25" s="22"/>
      <c r="Q25" s="23" t="str">
        <f aca="false">IF(OR(O25="",P25=""),"",O25*P25)</f>
        <v/>
      </c>
      <c r="R25" s="23" t="str">
        <f aca="false">IF(Q25="","",IF(Q25&gt;=15,"Critical",IF(Q25&gt;=10,"High",IF(Q25&gt;=5,"Medium","Low"))))</f>
        <v/>
      </c>
      <c r="S25" s="25" t="str">
        <f aca="false">IF(OR(I25="",Q25=""),"",1-Q25/I25)</f>
        <v/>
      </c>
      <c r="T25" s="23" t="str">
        <f aca="false">IF(AND(M25&lt;&gt;"",M25&lt;'Read Me'!$C$5,N25&lt;&gt;"Done"),"Yes","")</f>
        <v/>
      </c>
    </row>
    <row r="26" customFormat="false" ht="15" hidden="false" customHeight="false" outlineLevel="0" collapsed="false">
      <c r="A26" s="21"/>
      <c r="B26" s="22"/>
      <c r="C26" s="22"/>
      <c r="D26" s="22"/>
      <c r="E26" s="22"/>
      <c r="F26" s="22"/>
      <c r="G26" s="22"/>
      <c r="H26" s="22"/>
      <c r="I26" s="23" t="str">
        <f aca="false">IF(OR(G26="",H26=""),"",G26*H26)</f>
        <v/>
      </c>
      <c r="J26" s="23" t="str">
        <f aca="false">IF(I26="","",IF(I26&gt;=15,"Critical",IF(I26&gt;=10,"High",IF(I26&gt;=5,"Medium","Low"))))</f>
        <v/>
      </c>
      <c r="K26" s="22"/>
      <c r="L26" s="22"/>
      <c r="M26" s="24"/>
      <c r="N26" s="22"/>
      <c r="O26" s="22"/>
      <c r="P26" s="22"/>
      <c r="Q26" s="23" t="str">
        <f aca="false">IF(OR(O26="",P26=""),"",O26*P26)</f>
        <v/>
      </c>
      <c r="R26" s="23" t="str">
        <f aca="false">IF(Q26="","",IF(Q26&gt;=15,"Critical",IF(Q26&gt;=10,"High",IF(Q26&gt;=5,"Medium","Low"))))</f>
        <v/>
      </c>
      <c r="S26" s="25" t="str">
        <f aca="false">IF(OR(I26="",Q26=""),"",1-Q26/I26)</f>
        <v/>
      </c>
      <c r="T26" s="23" t="str">
        <f aca="false">IF(AND(M26&lt;&gt;"",M26&lt;'Read Me'!$C$5,N26&lt;&gt;"Done"),"Yes","")</f>
        <v/>
      </c>
    </row>
    <row r="27" customFormat="false" ht="15" hidden="false" customHeight="false" outlineLevel="0" collapsed="false">
      <c r="A27" s="21"/>
      <c r="B27" s="22"/>
      <c r="C27" s="22"/>
      <c r="D27" s="22"/>
      <c r="E27" s="22"/>
      <c r="F27" s="22"/>
      <c r="G27" s="22"/>
      <c r="H27" s="22"/>
      <c r="I27" s="23" t="str">
        <f aca="false">IF(OR(G27="",H27=""),"",G27*H27)</f>
        <v/>
      </c>
      <c r="J27" s="23" t="str">
        <f aca="false">IF(I27="","",IF(I27&gt;=15,"Critical",IF(I27&gt;=10,"High",IF(I27&gt;=5,"Medium","Low"))))</f>
        <v/>
      </c>
      <c r="K27" s="22"/>
      <c r="L27" s="22"/>
      <c r="M27" s="24"/>
      <c r="N27" s="22"/>
      <c r="O27" s="22"/>
      <c r="P27" s="22"/>
      <c r="Q27" s="23" t="str">
        <f aca="false">IF(OR(O27="",P27=""),"",O27*P27)</f>
        <v/>
      </c>
      <c r="R27" s="23" t="str">
        <f aca="false">IF(Q27="","",IF(Q27&gt;=15,"Critical",IF(Q27&gt;=10,"High",IF(Q27&gt;=5,"Medium","Low"))))</f>
        <v/>
      </c>
      <c r="S27" s="25" t="str">
        <f aca="false">IF(OR(I27="",Q27=""),"",1-Q27/I27)</f>
        <v/>
      </c>
      <c r="T27" s="23" t="str">
        <f aca="false">IF(AND(M27&lt;&gt;"",M27&lt;'Read Me'!$C$5,N27&lt;&gt;"Done"),"Yes","")</f>
        <v/>
      </c>
    </row>
    <row r="28" customFormat="false" ht="15" hidden="false" customHeight="false" outlineLevel="0" collapsed="false">
      <c r="A28" s="21"/>
      <c r="B28" s="22"/>
      <c r="C28" s="22"/>
      <c r="D28" s="22"/>
      <c r="E28" s="22"/>
      <c r="F28" s="22"/>
      <c r="G28" s="22"/>
      <c r="H28" s="22"/>
      <c r="I28" s="23" t="str">
        <f aca="false">IF(OR(G28="",H28=""),"",G28*H28)</f>
        <v/>
      </c>
      <c r="J28" s="23" t="str">
        <f aca="false">IF(I28="","",IF(I28&gt;=15,"Critical",IF(I28&gt;=10,"High",IF(I28&gt;=5,"Medium","Low"))))</f>
        <v/>
      </c>
      <c r="K28" s="22"/>
      <c r="L28" s="22"/>
      <c r="M28" s="24"/>
      <c r="N28" s="22"/>
      <c r="O28" s="22"/>
      <c r="P28" s="22"/>
      <c r="Q28" s="23" t="str">
        <f aca="false">IF(OR(O28="",P28=""),"",O28*P28)</f>
        <v/>
      </c>
      <c r="R28" s="23" t="str">
        <f aca="false">IF(Q28="","",IF(Q28&gt;=15,"Critical",IF(Q28&gt;=10,"High",IF(Q28&gt;=5,"Medium","Low"))))</f>
        <v/>
      </c>
      <c r="S28" s="25" t="str">
        <f aca="false">IF(OR(I28="",Q28=""),"",1-Q28/I28)</f>
        <v/>
      </c>
      <c r="T28" s="23" t="str">
        <f aca="false">IF(AND(M28&lt;&gt;"",M28&lt;'Read Me'!$C$5,N28&lt;&gt;"Done"),"Yes","")</f>
        <v/>
      </c>
    </row>
    <row r="29" customFormat="false" ht="15" hidden="false" customHeight="false" outlineLevel="0" collapsed="false">
      <c r="A29" s="21"/>
      <c r="B29" s="22"/>
      <c r="C29" s="22"/>
      <c r="D29" s="22"/>
      <c r="E29" s="22"/>
      <c r="F29" s="22"/>
      <c r="G29" s="22"/>
      <c r="H29" s="22"/>
      <c r="I29" s="23" t="str">
        <f aca="false">IF(OR(G29="",H29=""),"",G29*H29)</f>
        <v/>
      </c>
      <c r="J29" s="23" t="str">
        <f aca="false">IF(I29="","",IF(I29&gt;=15,"Critical",IF(I29&gt;=10,"High",IF(I29&gt;=5,"Medium","Low"))))</f>
        <v/>
      </c>
      <c r="K29" s="22"/>
      <c r="L29" s="22"/>
      <c r="M29" s="24"/>
      <c r="N29" s="22"/>
      <c r="O29" s="22"/>
      <c r="P29" s="22"/>
      <c r="Q29" s="23" t="str">
        <f aca="false">IF(OR(O29="",P29=""),"",O29*P29)</f>
        <v/>
      </c>
      <c r="R29" s="23" t="str">
        <f aca="false">IF(Q29="","",IF(Q29&gt;=15,"Critical",IF(Q29&gt;=10,"High",IF(Q29&gt;=5,"Medium","Low"))))</f>
        <v/>
      </c>
      <c r="S29" s="25" t="str">
        <f aca="false">IF(OR(I29="",Q29=""),"",1-Q29/I29)</f>
        <v/>
      </c>
      <c r="T29" s="23" t="str">
        <f aca="false">IF(AND(M29&lt;&gt;"",M29&lt;'Read Me'!$C$5,N29&lt;&gt;"Done"),"Yes","")</f>
        <v/>
      </c>
    </row>
    <row r="30" customFormat="false" ht="15" hidden="false" customHeight="false" outlineLevel="0" collapsed="false">
      <c r="A30" s="21"/>
      <c r="B30" s="22"/>
      <c r="C30" s="22"/>
      <c r="D30" s="22"/>
      <c r="E30" s="22"/>
      <c r="F30" s="22"/>
      <c r="G30" s="22"/>
      <c r="H30" s="22"/>
      <c r="I30" s="23" t="str">
        <f aca="false">IF(OR(G30="",H30=""),"",G30*H30)</f>
        <v/>
      </c>
      <c r="J30" s="23" t="str">
        <f aca="false">IF(I30="","",IF(I30&gt;=15,"Critical",IF(I30&gt;=10,"High",IF(I30&gt;=5,"Medium","Low"))))</f>
        <v/>
      </c>
      <c r="K30" s="22"/>
      <c r="L30" s="22"/>
      <c r="M30" s="24"/>
      <c r="N30" s="22"/>
      <c r="O30" s="22"/>
      <c r="P30" s="22"/>
      <c r="Q30" s="23" t="str">
        <f aca="false">IF(OR(O30="",P30=""),"",O30*P30)</f>
        <v/>
      </c>
      <c r="R30" s="23" t="str">
        <f aca="false">IF(Q30="","",IF(Q30&gt;=15,"Critical",IF(Q30&gt;=10,"High",IF(Q30&gt;=5,"Medium","Low"))))</f>
        <v/>
      </c>
      <c r="S30" s="25" t="str">
        <f aca="false">IF(OR(I30="",Q30=""),"",1-Q30/I30)</f>
        <v/>
      </c>
      <c r="T30" s="23" t="str">
        <f aca="false">IF(AND(M30&lt;&gt;"",M30&lt;'Read Me'!$C$5,N30&lt;&gt;"Done"),"Yes","")</f>
        <v/>
      </c>
    </row>
    <row r="31" customFormat="false" ht="15" hidden="false" customHeight="false" outlineLevel="0" collapsed="false">
      <c r="A31" s="21"/>
      <c r="B31" s="22"/>
      <c r="C31" s="22"/>
      <c r="D31" s="22"/>
      <c r="E31" s="22"/>
      <c r="F31" s="22"/>
      <c r="G31" s="22"/>
      <c r="H31" s="22"/>
      <c r="I31" s="23" t="str">
        <f aca="false">IF(OR(G31="",H31=""),"",G31*H31)</f>
        <v/>
      </c>
      <c r="J31" s="23" t="str">
        <f aca="false">IF(I31="","",IF(I31&gt;=15,"Critical",IF(I31&gt;=10,"High",IF(I31&gt;=5,"Medium","Low"))))</f>
        <v/>
      </c>
      <c r="K31" s="22"/>
      <c r="L31" s="22"/>
      <c r="M31" s="24"/>
      <c r="N31" s="22"/>
      <c r="O31" s="22"/>
      <c r="P31" s="22"/>
      <c r="Q31" s="23" t="str">
        <f aca="false">IF(OR(O31="",P31=""),"",O31*P31)</f>
        <v/>
      </c>
      <c r="R31" s="23" t="str">
        <f aca="false">IF(Q31="","",IF(Q31&gt;=15,"Critical",IF(Q31&gt;=10,"High",IF(Q31&gt;=5,"Medium","Low"))))</f>
        <v/>
      </c>
      <c r="S31" s="25" t="str">
        <f aca="false">IF(OR(I31="",Q31=""),"",1-Q31/I31)</f>
        <v/>
      </c>
      <c r="T31" s="23" t="str">
        <f aca="false">IF(AND(M31&lt;&gt;"",M31&lt;'Read Me'!$C$5,N31&lt;&gt;"Done"),"Yes","")</f>
        <v/>
      </c>
    </row>
  </sheetData>
  <autoFilter ref="A1:T31"/>
  <conditionalFormatting sqref="J2:J31">
    <cfRule type="expression" priority="2" aboveAverage="0" equalAverage="0" bottom="0" percent="0" rank="0" text="" dxfId="11">
      <formula>J2="Low"</formula>
    </cfRule>
    <cfRule type="expression" priority="3" aboveAverage="0" equalAverage="0" bottom="0" percent="0" rank="0" text="" dxfId="12">
      <formula>J2="Medium"</formula>
    </cfRule>
    <cfRule type="expression" priority="4" aboveAverage="0" equalAverage="0" bottom="0" percent="0" rank="0" text="" dxfId="13">
      <formula>J2="High"</formula>
    </cfRule>
    <cfRule type="expression" priority="5" aboveAverage="0" equalAverage="0" bottom="0" percent="0" rank="0" text="" dxfId="14">
      <formula>J2="Critical"</formula>
    </cfRule>
  </conditionalFormatting>
  <conditionalFormatting sqref="R2:R31">
    <cfRule type="expression" priority="6" aboveAverage="0" equalAverage="0" bottom="0" percent="0" rank="0" text="" dxfId="11">
      <formula>R2="Low"</formula>
    </cfRule>
    <cfRule type="expression" priority="7" aboveAverage="0" equalAverage="0" bottom="0" percent="0" rank="0" text="" dxfId="12">
      <formula>R2="Medium"</formula>
    </cfRule>
    <cfRule type="expression" priority="8" aboveAverage="0" equalAverage="0" bottom="0" percent="0" rank="0" text="" dxfId="13">
      <formula>R2="High"</formula>
    </cfRule>
    <cfRule type="expression" priority="9" aboveAverage="0" equalAverage="0" bottom="0" percent="0" rank="0" text="" dxfId="14">
      <formula>R2="Critical"</formula>
    </cfRule>
  </conditionalFormatting>
  <conditionalFormatting sqref="T2:T31">
    <cfRule type="expression" priority="10" aboveAverage="0" equalAverage="0" bottom="0" percent="0" rank="0" text="" dxfId="15">
      <formula>T2="Yes"</formula>
    </cfRule>
  </conditionalFormatting>
  <dataValidations count="3">
    <dataValidation allowBlank="false" error="Enter a whole number from 1 to 5." errorStyle="stop" errorTitle="Score 1 to 5" operator="between" showDropDown="false" showErrorMessage="true" showInputMessage="false" sqref="G2:H31 O2:P31" type="whole">
      <formula1>1</formula1>
      <formula2>5</formula2>
    </dataValidation>
    <dataValidation allowBlank="false" errorStyle="stop" operator="between" showDropDown="false" showErrorMessage="true" showInputMessage="false" sqref="N2:N31" type="list">
      <formula1>"Open,In progress,Done"</formula1>
      <formula2>0</formula2>
    </dataValidation>
    <dataValidation allowBlank="false" errorStyle="stop" operator="between" showDropDown="false" showErrorMessage="true" showInputMessage="false" sqref="B2:B31" type="list">
      <formula1>"Business Continuity,Fire &amp; Life Safety,Fleet &amp; Transport,Information Security,People &amp; Contractors,Physical Security,Warehouse &amp; Inventory"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9"/>
    <col collapsed="false" customWidth="true" hidden="false" outlineLevel="0" max="8" min="8" style="0" width="4"/>
    <col collapsed="false" customWidth="true" hidden="false" outlineLevel="0" max="15" min="9" style="0" width="9"/>
  </cols>
  <sheetData>
    <row r="2" customFormat="false" ht="19.7" hidden="false" customHeight="false" outlineLevel="0" collapsed="false">
      <c r="B2" s="26" t="s">
        <v>200</v>
      </c>
    </row>
    <row r="3" customFormat="false" ht="15" hidden="false" customHeight="false" outlineLevel="0" collapsed="false">
      <c r="B3" s="5" t="s">
        <v>201</v>
      </c>
    </row>
    <row r="5" customFormat="false" ht="15" hidden="false" customHeight="false" outlineLevel="0" collapsed="false">
      <c r="B5" s="6" t="s">
        <v>202</v>
      </c>
      <c r="I5" s="6" t="s">
        <v>203</v>
      </c>
    </row>
    <row r="6" customFormat="false" ht="15" hidden="false" customHeight="false" outlineLevel="0" collapsed="false">
      <c r="B6" s="27" t="s">
        <v>204</v>
      </c>
      <c r="I6" s="27" t="s">
        <v>204</v>
      </c>
    </row>
    <row r="7" customFormat="false" ht="39.75" hidden="false" customHeight="true" outlineLevel="0" collapsed="false">
      <c r="B7" s="28" t="n">
        <v>5</v>
      </c>
      <c r="C7" s="29" t="str">
        <f aca="false">IF(COUNTIFS('Risk Register'!$G$2:$G$31,5,'Risk Register'!$H$2:$H$31,1)=0,"",COUNTIFS('Risk Register'!$G$2:$G$31,5,'Risk Register'!$H$2:$H$31,1))</f>
        <v/>
      </c>
      <c r="D7" s="30" t="str">
        <f aca="false">IF(COUNTIFS('Risk Register'!$G$2:$G$31,5,'Risk Register'!$H$2:$H$31,2)=0,"",COUNTIFS('Risk Register'!$G$2:$G$31,5,'Risk Register'!$H$2:$H$31,2))</f>
        <v/>
      </c>
      <c r="E7" s="31" t="str">
        <f aca="false">IF(COUNTIFS('Risk Register'!$G$2:$G$31,5,'Risk Register'!$H$2:$H$31,3)=0,"",COUNTIFS('Risk Register'!$G$2:$G$31,5,'Risk Register'!$H$2:$H$31,3))</f>
        <v/>
      </c>
      <c r="F7" s="31" t="str">
        <f aca="false">IF(COUNTIFS('Risk Register'!$G$2:$G$31,5,'Risk Register'!$H$2:$H$31,4)=0,"",COUNTIFS('Risk Register'!$G$2:$G$31,5,'Risk Register'!$H$2:$H$31,4))</f>
        <v/>
      </c>
      <c r="G7" s="31" t="str">
        <f aca="false">IF(COUNTIFS('Risk Register'!$G$2:$G$31,5,'Risk Register'!$H$2:$H$31,5)=0,"",COUNTIFS('Risk Register'!$G$2:$G$31,5,'Risk Register'!$H$2:$H$31,5))</f>
        <v/>
      </c>
      <c r="I7" s="28" t="n">
        <v>5</v>
      </c>
      <c r="J7" s="29" t="str">
        <f aca="false">IF(COUNTIFS('Risk Register'!$O$2:$O$31,5,'Risk Register'!$P$2:$P$31,1)=0,"",COUNTIFS('Risk Register'!$O$2:$O$31,5,'Risk Register'!$P$2:$P$31,1))</f>
        <v/>
      </c>
      <c r="K7" s="30" t="str">
        <f aca="false">IF(COUNTIFS('Risk Register'!$O$2:$O$31,5,'Risk Register'!$P$2:$P$31,2)=0,"",COUNTIFS('Risk Register'!$O$2:$O$31,5,'Risk Register'!$P$2:$P$31,2))</f>
        <v/>
      </c>
      <c r="L7" s="31" t="str">
        <f aca="false">IF(COUNTIFS('Risk Register'!$O$2:$O$31,5,'Risk Register'!$P$2:$P$31,3)=0,"",COUNTIFS('Risk Register'!$O$2:$O$31,5,'Risk Register'!$P$2:$P$31,3))</f>
        <v/>
      </c>
      <c r="M7" s="31" t="str">
        <f aca="false">IF(COUNTIFS('Risk Register'!$O$2:$O$31,5,'Risk Register'!$P$2:$P$31,4)=0,"",COUNTIFS('Risk Register'!$O$2:$O$31,5,'Risk Register'!$P$2:$P$31,4))</f>
        <v/>
      </c>
      <c r="N7" s="31" t="str">
        <f aca="false">IF(COUNTIFS('Risk Register'!$O$2:$O$31,5,'Risk Register'!$P$2:$P$31,5)=0,"",COUNTIFS('Risk Register'!$O$2:$O$31,5,'Risk Register'!$P$2:$P$31,5))</f>
        <v/>
      </c>
    </row>
    <row r="8" customFormat="false" ht="39.75" hidden="false" customHeight="true" outlineLevel="0" collapsed="false">
      <c r="B8" s="28" t="n">
        <v>4</v>
      </c>
      <c r="C8" s="32" t="str">
        <f aca="false">IF(COUNTIFS('Risk Register'!$G$2:$G$31,4,'Risk Register'!$H$2:$H$31,1)=0,"",COUNTIFS('Risk Register'!$G$2:$G$31,4,'Risk Register'!$H$2:$H$31,1))</f>
        <v/>
      </c>
      <c r="D8" s="29" t="str">
        <f aca="false">IF(COUNTIFS('Risk Register'!$G$2:$G$31,4,'Risk Register'!$H$2:$H$31,2)=0,"",COUNTIFS('Risk Register'!$G$2:$G$31,4,'Risk Register'!$H$2:$H$31,2))</f>
        <v/>
      </c>
      <c r="E8" s="30" t="n">
        <f aca="false">IF(COUNTIFS('Risk Register'!$G$2:$G$31,4,'Risk Register'!$H$2:$H$31,3)=0,"",COUNTIFS('Risk Register'!$G$2:$G$31,4,'Risk Register'!$H$2:$H$31,3))</f>
        <v>4</v>
      </c>
      <c r="F8" s="31" t="n">
        <f aca="false">IF(COUNTIFS('Risk Register'!$G$2:$G$31,4,'Risk Register'!$H$2:$H$31,4)=0,"",COUNTIFS('Risk Register'!$G$2:$G$31,4,'Risk Register'!$H$2:$H$31,4))</f>
        <v>2</v>
      </c>
      <c r="G8" s="31" t="str">
        <f aca="false">IF(COUNTIFS('Risk Register'!$G$2:$G$31,4,'Risk Register'!$H$2:$H$31,5)=0,"",COUNTIFS('Risk Register'!$G$2:$G$31,4,'Risk Register'!$H$2:$H$31,5))</f>
        <v/>
      </c>
      <c r="I8" s="28" t="n">
        <v>4</v>
      </c>
      <c r="J8" s="32" t="str">
        <f aca="false">IF(COUNTIFS('Risk Register'!$O$2:$O$31,4,'Risk Register'!$P$2:$P$31,1)=0,"",COUNTIFS('Risk Register'!$O$2:$O$31,4,'Risk Register'!$P$2:$P$31,1))</f>
        <v/>
      </c>
      <c r="K8" s="29" t="str">
        <f aca="false">IF(COUNTIFS('Risk Register'!$O$2:$O$31,4,'Risk Register'!$P$2:$P$31,2)=0,"",COUNTIFS('Risk Register'!$O$2:$O$31,4,'Risk Register'!$P$2:$P$31,2))</f>
        <v/>
      </c>
      <c r="L8" s="30" t="str">
        <f aca="false">IF(COUNTIFS('Risk Register'!$O$2:$O$31,4,'Risk Register'!$P$2:$P$31,3)=0,"",COUNTIFS('Risk Register'!$O$2:$O$31,4,'Risk Register'!$P$2:$P$31,3))</f>
        <v/>
      </c>
      <c r="M8" s="31" t="str">
        <f aca="false">IF(COUNTIFS('Risk Register'!$O$2:$O$31,4,'Risk Register'!$P$2:$P$31,4)=0,"",COUNTIFS('Risk Register'!$O$2:$O$31,4,'Risk Register'!$P$2:$P$31,4))</f>
        <v/>
      </c>
      <c r="N8" s="31" t="str">
        <f aca="false">IF(COUNTIFS('Risk Register'!$O$2:$O$31,4,'Risk Register'!$P$2:$P$31,5)=0,"",COUNTIFS('Risk Register'!$O$2:$O$31,4,'Risk Register'!$P$2:$P$31,5))</f>
        <v/>
      </c>
    </row>
    <row r="9" customFormat="false" ht="39.75" hidden="false" customHeight="true" outlineLevel="0" collapsed="false">
      <c r="B9" s="28" t="n">
        <v>3</v>
      </c>
      <c r="C9" s="32" t="str">
        <f aca="false">IF(COUNTIFS('Risk Register'!$G$2:$G$31,3,'Risk Register'!$H$2:$H$31,1)=0,"",COUNTIFS('Risk Register'!$G$2:$G$31,3,'Risk Register'!$H$2:$H$31,1))</f>
        <v/>
      </c>
      <c r="D9" s="29" t="str">
        <f aca="false">IF(COUNTIFS('Risk Register'!$G$2:$G$31,3,'Risk Register'!$H$2:$H$31,2)=0,"",COUNTIFS('Risk Register'!$G$2:$G$31,3,'Risk Register'!$H$2:$H$31,2))</f>
        <v/>
      </c>
      <c r="E9" s="29" t="n">
        <f aca="false">IF(COUNTIFS('Risk Register'!$G$2:$G$31,3,'Risk Register'!$H$2:$H$31,3)=0,"",COUNTIFS('Risk Register'!$G$2:$G$31,3,'Risk Register'!$H$2:$H$31,3))</f>
        <v>2</v>
      </c>
      <c r="F9" s="30" t="n">
        <f aca="false">IF(COUNTIFS('Risk Register'!$G$2:$G$31,3,'Risk Register'!$H$2:$H$31,4)=0,"",COUNTIFS('Risk Register'!$G$2:$G$31,3,'Risk Register'!$H$2:$H$31,4))</f>
        <v>6</v>
      </c>
      <c r="G9" s="31" t="n">
        <f aca="false">IF(COUNTIFS('Risk Register'!$G$2:$G$31,3,'Risk Register'!$H$2:$H$31,5)=0,"",COUNTIFS('Risk Register'!$G$2:$G$31,3,'Risk Register'!$H$2:$H$31,5))</f>
        <v>2</v>
      </c>
      <c r="I9" s="28" t="n">
        <v>3</v>
      </c>
      <c r="J9" s="32" t="str">
        <f aca="false">IF(COUNTIFS('Risk Register'!$O$2:$O$31,3,'Risk Register'!$P$2:$P$31,1)=0,"",COUNTIFS('Risk Register'!$O$2:$O$31,3,'Risk Register'!$P$2:$P$31,1))</f>
        <v/>
      </c>
      <c r="K9" s="29" t="str">
        <f aca="false">IF(COUNTIFS('Risk Register'!$O$2:$O$31,3,'Risk Register'!$P$2:$P$31,2)=0,"",COUNTIFS('Risk Register'!$O$2:$O$31,3,'Risk Register'!$P$2:$P$31,2))</f>
        <v/>
      </c>
      <c r="L9" s="29" t="str">
        <f aca="false">IF(COUNTIFS('Risk Register'!$O$2:$O$31,3,'Risk Register'!$P$2:$P$31,3)=0,"",COUNTIFS('Risk Register'!$O$2:$O$31,3,'Risk Register'!$P$2:$P$31,3))</f>
        <v/>
      </c>
      <c r="M9" s="30" t="n">
        <f aca="false">IF(COUNTIFS('Risk Register'!$O$2:$O$31,3,'Risk Register'!$P$2:$P$31,4)=0,"",COUNTIFS('Risk Register'!$O$2:$O$31,3,'Risk Register'!$P$2:$P$31,4))</f>
        <v>1</v>
      </c>
      <c r="N9" s="31" t="str">
        <f aca="false">IF(COUNTIFS('Risk Register'!$O$2:$O$31,3,'Risk Register'!$P$2:$P$31,5)=0,"",COUNTIFS('Risk Register'!$O$2:$O$31,3,'Risk Register'!$P$2:$P$31,5))</f>
        <v/>
      </c>
    </row>
    <row r="10" customFormat="false" ht="39.75" hidden="false" customHeight="true" outlineLevel="0" collapsed="false">
      <c r="B10" s="28" t="n">
        <v>2</v>
      </c>
      <c r="C10" s="32" t="str">
        <f aca="false">IF(COUNTIFS('Risk Register'!$G$2:$G$31,2,'Risk Register'!$H$2:$H$31,1)=0,"",COUNTIFS('Risk Register'!$G$2:$G$31,2,'Risk Register'!$H$2:$H$31,1))</f>
        <v/>
      </c>
      <c r="D10" s="32" t="str">
        <f aca="false">IF(COUNTIFS('Risk Register'!$G$2:$G$31,2,'Risk Register'!$H$2:$H$31,2)=0,"",COUNTIFS('Risk Register'!$G$2:$G$31,2,'Risk Register'!$H$2:$H$31,2))</f>
        <v/>
      </c>
      <c r="E10" s="29" t="n">
        <f aca="false">IF(COUNTIFS('Risk Register'!$G$2:$G$31,2,'Risk Register'!$H$2:$H$31,3)=0,"",COUNTIFS('Risk Register'!$G$2:$G$31,2,'Risk Register'!$H$2:$H$31,3))</f>
        <v>1</v>
      </c>
      <c r="F10" s="29" t="n">
        <f aca="false">IF(COUNTIFS('Risk Register'!$G$2:$G$31,2,'Risk Register'!$H$2:$H$31,4)=0,"",COUNTIFS('Risk Register'!$G$2:$G$31,2,'Risk Register'!$H$2:$H$31,4))</f>
        <v>2</v>
      </c>
      <c r="G10" s="30" t="n">
        <f aca="false">IF(COUNTIFS('Risk Register'!$G$2:$G$31,2,'Risk Register'!$H$2:$H$31,5)=0,"",COUNTIFS('Risk Register'!$G$2:$G$31,2,'Risk Register'!$H$2:$H$31,5))</f>
        <v>1</v>
      </c>
      <c r="I10" s="28" t="n">
        <v>2</v>
      </c>
      <c r="J10" s="32" t="str">
        <f aca="false">IF(COUNTIFS('Risk Register'!$O$2:$O$31,2,'Risk Register'!$P$2:$P$31,1)=0,"",COUNTIFS('Risk Register'!$O$2:$O$31,2,'Risk Register'!$P$2:$P$31,1))</f>
        <v/>
      </c>
      <c r="K10" s="32" t="n">
        <f aca="false">IF(COUNTIFS('Risk Register'!$O$2:$O$31,2,'Risk Register'!$P$2:$P$31,2)=0,"",COUNTIFS('Risk Register'!$O$2:$O$31,2,'Risk Register'!$P$2:$P$31,2))</f>
        <v>2</v>
      </c>
      <c r="L10" s="29" t="n">
        <f aca="false">IF(COUNTIFS('Risk Register'!$O$2:$O$31,2,'Risk Register'!$P$2:$P$31,3)=0,"",COUNTIFS('Risk Register'!$O$2:$O$31,2,'Risk Register'!$P$2:$P$31,3))</f>
        <v>7</v>
      </c>
      <c r="M10" s="29" t="n">
        <f aca="false">IF(COUNTIFS('Risk Register'!$O$2:$O$31,2,'Risk Register'!$P$2:$P$31,4)=0,"",COUNTIFS('Risk Register'!$O$2:$O$31,2,'Risk Register'!$P$2:$P$31,4))</f>
        <v>1</v>
      </c>
      <c r="N10" s="30" t="str">
        <f aca="false">IF(COUNTIFS('Risk Register'!$O$2:$O$31,2,'Risk Register'!$P$2:$P$31,5)=0,"",COUNTIFS('Risk Register'!$O$2:$O$31,2,'Risk Register'!$P$2:$P$31,5))</f>
        <v/>
      </c>
    </row>
    <row r="11" customFormat="false" ht="39.75" hidden="false" customHeight="true" outlineLevel="0" collapsed="false">
      <c r="B11" s="28" t="n">
        <v>1</v>
      </c>
      <c r="C11" s="32" t="str">
        <f aca="false">IF(COUNTIFS('Risk Register'!$G$2:$G$31,1,'Risk Register'!$H$2:$H$31,1)=0,"",COUNTIFS('Risk Register'!$G$2:$G$31,1,'Risk Register'!$H$2:$H$31,1))</f>
        <v/>
      </c>
      <c r="D11" s="32" t="str">
        <f aca="false">IF(COUNTIFS('Risk Register'!$G$2:$G$31,1,'Risk Register'!$H$2:$H$31,2)=0,"",COUNTIFS('Risk Register'!$G$2:$G$31,1,'Risk Register'!$H$2:$H$31,2))</f>
        <v/>
      </c>
      <c r="E11" s="32" t="str">
        <f aca="false">IF(COUNTIFS('Risk Register'!$G$2:$G$31,1,'Risk Register'!$H$2:$H$31,3)=0,"",COUNTIFS('Risk Register'!$G$2:$G$31,1,'Risk Register'!$H$2:$H$31,3))</f>
        <v/>
      </c>
      <c r="F11" s="32" t="str">
        <f aca="false">IF(COUNTIFS('Risk Register'!$G$2:$G$31,1,'Risk Register'!$H$2:$H$31,4)=0,"",COUNTIFS('Risk Register'!$G$2:$G$31,1,'Risk Register'!$H$2:$H$31,4))</f>
        <v/>
      </c>
      <c r="G11" s="29" t="str">
        <f aca="false">IF(COUNTIFS('Risk Register'!$G$2:$G$31,1,'Risk Register'!$H$2:$H$31,5)=0,"",COUNTIFS('Risk Register'!$G$2:$G$31,1,'Risk Register'!$H$2:$H$31,5))</f>
        <v/>
      </c>
      <c r="I11" s="28" t="n">
        <v>1</v>
      </c>
      <c r="J11" s="32" t="str">
        <f aca="false">IF(COUNTIFS('Risk Register'!$O$2:$O$31,1,'Risk Register'!$P$2:$P$31,1)=0,"",COUNTIFS('Risk Register'!$O$2:$O$31,1,'Risk Register'!$P$2:$P$31,1))</f>
        <v/>
      </c>
      <c r="K11" s="32" t="str">
        <f aca="false">IF(COUNTIFS('Risk Register'!$O$2:$O$31,1,'Risk Register'!$P$2:$P$31,2)=0,"",COUNTIFS('Risk Register'!$O$2:$O$31,1,'Risk Register'!$P$2:$P$31,2))</f>
        <v/>
      </c>
      <c r="L11" s="32" t="n">
        <f aca="false">IF(COUNTIFS('Risk Register'!$O$2:$O$31,1,'Risk Register'!$P$2:$P$31,3)=0,"",COUNTIFS('Risk Register'!$O$2:$O$31,1,'Risk Register'!$P$2:$P$31,3))</f>
        <v>3</v>
      </c>
      <c r="M11" s="32" t="n">
        <f aca="false">IF(COUNTIFS('Risk Register'!$O$2:$O$31,1,'Risk Register'!$P$2:$P$31,4)=0,"",COUNTIFS('Risk Register'!$O$2:$O$31,1,'Risk Register'!$P$2:$P$31,4))</f>
        <v>3</v>
      </c>
      <c r="N11" s="29" t="n">
        <f aca="false">IF(COUNTIFS('Risk Register'!$O$2:$O$31,1,'Risk Register'!$P$2:$P$31,5)=0,"",COUNTIFS('Risk Register'!$O$2:$O$31,1,'Risk Register'!$P$2:$P$31,5))</f>
        <v>3</v>
      </c>
    </row>
    <row r="12" customFormat="false" ht="15" hidden="false" customHeight="false" outlineLevel="0" collapsed="false">
      <c r="C12" s="33" t="n">
        <v>1</v>
      </c>
      <c r="D12" s="33" t="n">
        <v>2</v>
      </c>
      <c r="E12" s="33" t="n">
        <v>3</v>
      </c>
      <c r="F12" s="33" t="n">
        <v>4</v>
      </c>
      <c r="G12" s="33" t="n">
        <v>5</v>
      </c>
      <c r="J12" s="33" t="n">
        <v>1</v>
      </c>
      <c r="K12" s="33" t="n">
        <v>2</v>
      </c>
      <c r="L12" s="33" t="n">
        <v>3</v>
      </c>
      <c r="M12" s="33" t="n">
        <v>4</v>
      </c>
      <c r="N12" s="33" t="n">
        <v>5</v>
      </c>
    </row>
    <row r="13" customFormat="false" ht="15" hidden="false" customHeight="false" outlineLevel="0" collapsed="false">
      <c r="C13" s="27" t="s">
        <v>205</v>
      </c>
      <c r="J13" s="27" t="s">
        <v>205</v>
      </c>
    </row>
    <row r="15" customFormat="false" ht="15" hidden="false" customHeight="false" outlineLevel="0" collapsed="false">
      <c r="C15" s="34" t="s">
        <v>206</v>
      </c>
      <c r="D15" s="34"/>
      <c r="E15" s="35" t="s">
        <v>207</v>
      </c>
      <c r="F15" s="35"/>
      <c r="G15" s="36" t="s">
        <v>208</v>
      </c>
      <c r="H15" s="36"/>
      <c r="I15" s="37" t="s">
        <v>209</v>
      </c>
      <c r="J15" s="37"/>
    </row>
  </sheetData>
  <mergeCells count="4">
    <mergeCell ref="C15:D15"/>
    <mergeCell ref="E15:F15"/>
    <mergeCell ref="G15:H15"/>
    <mergeCell ref="I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26" t="s">
        <v>210</v>
      </c>
    </row>
    <row r="3" customFormat="false" ht="15" hidden="false" customHeight="false" outlineLevel="0" collapsed="false">
      <c r="B3" s="5" t="str">
        <f aca="false">"As of "&amp;TEXT('Read Me'!C5,"dd mmm yyyy")</f>
        <v>As of 01 Oct 2026</v>
      </c>
    </row>
    <row r="5" customFormat="false" ht="15" hidden="false" customHeight="false" outlineLevel="0" collapsed="false">
      <c r="B5" s="6" t="s">
        <v>211</v>
      </c>
    </row>
    <row r="6" customFormat="false" ht="15" hidden="false" customHeight="false" outlineLevel="0" collapsed="false">
      <c r="B6" s="38" t="s">
        <v>212</v>
      </c>
      <c r="C6" s="39" t="s">
        <v>213</v>
      </c>
    </row>
    <row r="7" customFormat="false" ht="15" hidden="false" customHeight="false" outlineLevel="0" collapsed="false">
      <c r="B7" s="40" t="s">
        <v>214</v>
      </c>
      <c r="C7" s="41" t="n">
        <f aca="false">COUNTA('Risk Register'!$A$2:$A$31)</f>
        <v>20</v>
      </c>
    </row>
    <row r="8" customFormat="false" ht="15" hidden="false" customHeight="false" outlineLevel="0" collapsed="false">
      <c r="B8" s="40" t="s">
        <v>215</v>
      </c>
      <c r="C8" s="42" t="n">
        <f aca="false">IFERROR(AVERAGE('Risk Register'!$I$2:$I$31),0)</f>
        <v>11.6</v>
      </c>
    </row>
    <row r="9" customFormat="false" ht="15" hidden="false" customHeight="false" outlineLevel="0" collapsed="false">
      <c r="B9" s="40" t="s">
        <v>216</v>
      </c>
      <c r="C9" s="42" t="n">
        <f aca="false">IFERROR(AVERAGE('Risk Register'!$Q$2:$Q$31),0)</f>
        <v>5.3</v>
      </c>
    </row>
    <row r="10" customFormat="false" ht="15" hidden="false" customHeight="false" outlineLevel="0" collapsed="false">
      <c r="B10" s="40" t="s">
        <v>217</v>
      </c>
      <c r="C10" s="43" t="n">
        <f aca="false">IFERROR(1-SUM('Risk Register'!$Q$2:$Q$31)/SUM('Risk Register'!$I$2:$I$31),0)</f>
        <v>0.543103448275862</v>
      </c>
    </row>
    <row r="11" customFormat="false" ht="15" hidden="false" customHeight="false" outlineLevel="0" collapsed="false">
      <c r="B11" s="40" t="s">
        <v>218</v>
      </c>
      <c r="C11" s="44" t="n">
        <f aca="false">COUNTIF('Risk Register'!$T$2:$T$31,"Yes")</f>
        <v>2</v>
      </c>
    </row>
    <row r="13" customFormat="false" ht="15" hidden="false" customHeight="false" outlineLevel="0" collapsed="false">
      <c r="B13" s="6" t="s">
        <v>219</v>
      </c>
    </row>
    <row r="14" customFormat="false" ht="15" hidden="false" customHeight="false" outlineLevel="0" collapsed="false">
      <c r="B14" s="38" t="s">
        <v>220</v>
      </c>
      <c r="C14" s="39" t="s">
        <v>221</v>
      </c>
      <c r="D14" s="39" t="s">
        <v>222</v>
      </c>
    </row>
    <row r="15" customFormat="false" ht="15" hidden="false" customHeight="false" outlineLevel="0" collapsed="false">
      <c r="B15" s="45" t="s">
        <v>28</v>
      </c>
      <c r="C15" s="41" t="n">
        <f aca="false">COUNTIF('Risk Register'!$J$2:$J$31,B15)</f>
        <v>0</v>
      </c>
      <c r="D15" s="41" t="n">
        <f aca="false">COUNTIF('Risk Register'!$R$2:$R$31,B15)</f>
        <v>8</v>
      </c>
    </row>
    <row r="16" customFormat="false" ht="15" hidden="false" customHeight="false" outlineLevel="0" collapsed="false">
      <c r="B16" s="46" t="s">
        <v>31</v>
      </c>
      <c r="C16" s="41" t="n">
        <f aca="false">COUNTIF('Risk Register'!$J$2:$J$31,B16)</f>
        <v>5</v>
      </c>
      <c r="D16" s="41" t="n">
        <f aca="false">COUNTIF('Risk Register'!$R$2:$R$31,B16)</f>
        <v>11</v>
      </c>
    </row>
    <row r="17" customFormat="false" ht="15" hidden="false" customHeight="false" outlineLevel="0" collapsed="false">
      <c r="B17" s="47" t="s">
        <v>34</v>
      </c>
      <c r="C17" s="41" t="n">
        <f aca="false">COUNTIF('Risk Register'!$J$2:$J$31,B17)</f>
        <v>11</v>
      </c>
      <c r="D17" s="41" t="n">
        <f aca="false">COUNTIF('Risk Register'!$R$2:$R$31,B17)</f>
        <v>1</v>
      </c>
    </row>
    <row r="18" customFormat="false" ht="15" hidden="false" customHeight="false" outlineLevel="0" collapsed="false">
      <c r="B18" s="48" t="s">
        <v>37</v>
      </c>
      <c r="C18" s="41" t="n">
        <f aca="false">COUNTIF('Risk Register'!$J$2:$J$31,B18)</f>
        <v>4</v>
      </c>
      <c r="D18" s="41" t="n">
        <f aca="false">COUNTIF('Risk Register'!$R$2:$R$31,B18)</f>
        <v>0</v>
      </c>
    </row>
    <row r="19" customFormat="false" ht="15" hidden="false" customHeight="false" outlineLevel="0" collapsed="false">
      <c r="B19" s="49" t="s">
        <v>223</v>
      </c>
      <c r="C19" s="44" t="n">
        <f aca="false">SUM(C15:C18)</f>
        <v>20</v>
      </c>
      <c r="D19" s="44" t="n">
        <f aca="false">SUM(D15:D18)</f>
        <v>20</v>
      </c>
    </row>
    <row r="21" customFormat="false" ht="15" hidden="false" customHeight="false" outlineLevel="0" collapsed="false">
      <c r="B21" s="6" t="s">
        <v>224</v>
      </c>
    </row>
    <row r="22" customFormat="false" ht="15" hidden="false" customHeight="false" outlineLevel="0" collapsed="false">
      <c r="B22" s="38" t="s">
        <v>41</v>
      </c>
      <c r="C22" s="39" t="s">
        <v>225</v>
      </c>
      <c r="D22" s="39" t="s">
        <v>226</v>
      </c>
      <c r="E22" s="39" t="s">
        <v>227</v>
      </c>
      <c r="F22" s="39" t="s">
        <v>58</v>
      </c>
    </row>
    <row r="23" customFormat="false" ht="15" hidden="false" customHeight="false" outlineLevel="0" collapsed="false">
      <c r="B23" s="40" t="s">
        <v>187</v>
      </c>
      <c r="C23" s="41" t="n">
        <f aca="false">COUNTIF('Risk Register'!$B$2:$B$31,B23)</f>
        <v>2</v>
      </c>
      <c r="D23" s="42" t="n">
        <f aca="false">IFERROR(AVERAGEIF('Risk Register'!$B$2:$B$31,B23,'Risk Register'!$I$2:$I$31),0)</f>
        <v>10</v>
      </c>
      <c r="E23" s="42" t="n">
        <f aca="false">IFERROR(AVERAGEIF('Risk Register'!$B$2:$B$31,B23,'Risk Register'!$Q$2:$Q$31),0)</f>
        <v>5</v>
      </c>
      <c r="F23" s="43" t="n">
        <f aca="false">IFERROR(1-E23/D23,0)</f>
        <v>0.5</v>
      </c>
    </row>
    <row r="24" customFormat="false" ht="15" hidden="false" customHeight="false" outlineLevel="0" collapsed="false">
      <c r="B24" s="40" t="s">
        <v>140</v>
      </c>
      <c r="C24" s="41" t="n">
        <f aca="false">COUNTIF('Risk Register'!$B$2:$B$31,B24)</f>
        <v>3</v>
      </c>
      <c r="D24" s="42" t="n">
        <f aca="false">IFERROR(AVERAGEIF('Risk Register'!$B$2:$B$31,B24,'Risk Register'!$I$2:$I$31),0)</f>
        <v>11.3333333333333</v>
      </c>
      <c r="E24" s="42" t="n">
        <f aca="false">IFERROR(AVERAGEIF('Risk Register'!$B$2:$B$31,B24,'Risk Register'!$Q$2:$Q$31),0)</f>
        <v>5</v>
      </c>
      <c r="F24" s="43" t="n">
        <f aca="false">IFERROR(1-E24/D24,0)</f>
        <v>0.558823529411765</v>
      </c>
    </row>
    <row r="25" customFormat="false" ht="15" hidden="false" customHeight="false" outlineLevel="0" collapsed="false">
      <c r="B25" s="40" t="s">
        <v>90</v>
      </c>
      <c r="C25" s="41" t="n">
        <f aca="false">COUNTIF('Risk Register'!$B$2:$B$31,B25)</f>
        <v>4</v>
      </c>
      <c r="D25" s="42" t="n">
        <f aca="false">IFERROR(AVERAGEIF('Risk Register'!$B$2:$B$31,B25,'Risk Register'!$I$2:$I$31),0)</f>
        <v>13</v>
      </c>
      <c r="E25" s="42" t="n">
        <f aca="false">IFERROR(AVERAGEIF('Risk Register'!$B$2:$B$31,B25,'Risk Register'!$Q$2:$Q$31),0)</f>
        <v>5.75</v>
      </c>
      <c r="F25" s="43" t="n">
        <f aca="false">IFERROR(1-E25/D25,0)</f>
        <v>0.557692307692308</v>
      </c>
    </row>
    <row r="26" customFormat="false" ht="15" hidden="false" customHeight="false" outlineLevel="0" collapsed="false">
      <c r="B26" s="40" t="s">
        <v>179</v>
      </c>
      <c r="C26" s="41" t="n">
        <f aca="false">COUNTIF('Risk Register'!$B$2:$B$31,B26)</f>
        <v>1</v>
      </c>
      <c r="D26" s="42" t="n">
        <f aca="false">IFERROR(AVERAGEIF('Risk Register'!$B$2:$B$31,B26,'Risk Register'!$I$2:$I$31),0)</f>
        <v>12</v>
      </c>
      <c r="E26" s="42" t="n">
        <f aca="false">IFERROR(AVERAGEIF('Risk Register'!$B$2:$B$31,B26,'Risk Register'!$Q$2:$Q$31),0)</f>
        <v>6</v>
      </c>
      <c r="F26" s="43" t="n">
        <f aca="false">IFERROR(1-E26/D26,0)</f>
        <v>0.5</v>
      </c>
    </row>
    <row r="27" customFormat="false" ht="15" hidden="false" customHeight="false" outlineLevel="0" collapsed="false">
      <c r="B27" s="40" t="s">
        <v>159</v>
      </c>
      <c r="C27" s="41" t="n">
        <f aca="false">COUNTIF('Risk Register'!$B$2:$B$31,B27)</f>
        <v>3</v>
      </c>
      <c r="D27" s="42" t="n">
        <f aca="false">IFERROR(AVERAGEIF('Risk Register'!$B$2:$B$31,B27,'Risk Register'!$I$2:$I$31),0)</f>
        <v>8.66666666666667</v>
      </c>
      <c r="E27" s="42" t="n">
        <f aca="false">IFERROR(AVERAGEIF('Risk Register'!$B$2:$B$31,B27,'Risk Register'!$Q$2:$Q$31),0)</f>
        <v>3.33333333333333</v>
      </c>
      <c r="F27" s="43" t="n">
        <f aca="false">IFERROR(1-E27/D27,0)</f>
        <v>0.615384615384615</v>
      </c>
    </row>
    <row r="28" customFormat="false" ht="15" hidden="false" customHeight="false" outlineLevel="0" collapsed="false">
      <c r="B28" s="40" t="s">
        <v>61</v>
      </c>
      <c r="C28" s="41" t="n">
        <f aca="false">COUNTIF('Risk Register'!$B$2:$B$31,B28)</f>
        <v>4</v>
      </c>
      <c r="D28" s="42" t="n">
        <f aca="false">IFERROR(AVERAGEIF('Risk Register'!$B$2:$B$31,B28,'Risk Register'!$I$2:$I$31),0)</f>
        <v>13</v>
      </c>
      <c r="E28" s="42" t="n">
        <f aca="false">IFERROR(AVERAGEIF('Risk Register'!$B$2:$B$31,B28,'Risk Register'!$Q$2:$Q$31),0)</f>
        <v>7</v>
      </c>
      <c r="F28" s="43" t="n">
        <f aca="false">IFERROR(1-E28/D28,0)</f>
        <v>0.461538461538462</v>
      </c>
    </row>
    <row r="29" customFormat="false" ht="15" hidden="false" customHeight="false" outlineLevel="0" collapsed="false">
      <c r="B29" s="40" t="s">
        <v>118</v>
      </c>
      <c r="C29" s="41" t="n">
        <f aca="false">COUNTIF('Risk Register'!$B$2:$B$31,B29)</f>
        <v>3</v>
      </c>
      <c r="D29" s="42" t="n">
        <f aca="false">IFERROR(AVERAGEIF('Risk Register'!$B$2:$B$31,B29,'Risk Register'!$I$2:$I$31),0)</f>
        <v>12</v>
      </c>
      <c r="E29" s="42" t="n">
        <f aca="false">IFERROR(AVERAGEIF('Risk Register'!$B$2:$B$31,B29,'Risk Register'!$Q$2:$Q$31),0)</f>
        <v>4.66666666666667</v>
      </c>
      <c r="F29" s="43" t="n">
        <f aca="false">IFERROR(1-E29/D29,0)</f>
        <v>0.611111111111111</v>
      </c>
    </row>
    <row r="31" customFormat="false" ht="15" hidden="false" customHeight="false" outlineLevel="0" collapsed="false">
      <c r="B31" s="6" t="s">
        <v>228</v>
      </c>
    </row>
    <row r="32" customFormat="false" ht="15" hidden="false" customHeight="false" outlineLevel="0" collapsed="false">
      <c r="B32" s="38" t="s">
        <v>53</v>
      </c>
      <c r="C32" s="39" t="s">
        <v>229</v>
      </c>
    </row>
    <row r="33" customFormat="false" ht="15" hidden="false" customHeight="false" outlineLevel="0" collapsed="false">
      <c r="B33" s="40" t="s">
        <v>76</v>
      </c>
      <c r="C33" s="41" t="n">
        <f aca="false">COUNTIF('Risk Register'!$N$2:$N$31,B33)</f>
        <v>8</v>
      </c>
    </row>
    <row r="34" customFormat="false" ht="15" hidden="false" customHeight="false" outlineLevel="0" collapsed="false">
      <c r="B34" s="40" t="s">
        <v>68</v>
      </c>
      <c r="C34" s="41" t="n">
        <f aca="false">COUNTIF('Risk Register'!$N$2:$N$31,B34)</f>
        <v>7</v>
      </c>
    </row>
    <row r="35" customFormat="false" ht="15" hidden="false" customHeight="false" outlineLevel="0" collapsed="false">
      <c r="B35" s="40" t="s">
        <v>103</v>
      </c>
      <c r="C35" s="41" t="n">
        <f aca="false">COUNTIF('Risk Register'!$N$2:$N$31,B35)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2026-10-12T13:32:54Z</dcterms:created>
  <dc:creator>openpyxl</dc:creator>
  <dc:description/>
  <dc:language>en-US</dc:language>
  <cp:lastModifiedBy/>
  <dcterms:modified xsi:type="dcterms:W3CDTF">2026-10-12T13:32:54Z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